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activeTab="3"/>
  </bookViews>
  <sheets>
    <sheet name="教师" sheetId="1" r:id="rId1"/>
    <sheet name="教师月度绩效（T2开始有）" sheetId="2" r:id="rId2"/>
    <sheet name="教学AD" sheetId="3" r:id="rId3"/>
    <sheet name="培训师"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<sst xmlns="http://schemas.openxmlformats.org/spreadsheetml/2006/main" count="368" uniqueCount="283">
  <si>
    <t>励步英语教师薪资绩效</t>
  </si>
  <si>
    <t>综合薪酬</t>
  </si>
  <si>
    <t>基本薪资</t>
  </si>
  <si>
    <t>岗位薪资</t>
  </si>
  <si>
    <t>岗位薪资说明</t>
  </si>
  <si>
    <t>月度项目绩效</t>
  </si>
  <si>
    <t>绩效细则</t>
  </si>
  <si>
    <t>T1:2000
T2:2200
T3:2500</t>
  </si>
  <si>
    <t>新师初培成功后即获得
拒绝教务发班取消补助</t>
  </si>
  <si>
    <t>T1级别：无
T2级别：300/月
T3级别：500/月</t>
  </si>
  <si>
    <t>月度绩效=评分系数*绩效基数
评分≥4，奖金系数为1.2
3≤得分＜4，奖金系数为1
2≤得分＜3，奖金系数为0.7
0≤得分＜2，奖金系数为0</t>
  </si>
  <si>
    <r>
      <rPr>
        <sz val="10"/>
        <color rgb="FF000000"/>
        <rFont val="微软雅黑"/>
        <charset val="134"/>
      </rPr>
      <t xml:space="preserve">试用期薪资标准：
①2000基础+600/1000绩效；
②培训期当月无考核则无当月绩效；
</t>
    </r>
    <r>
      <rPr>
        <sz val="10"/>
        <rFont val="微软雅黑"/>
        <charset val="134"/>
      </rPr>
      <t>③此绩效为满月绩效，实际核算时需按考勤折算</t>
    </r>
    <r>
      <rPr>
        <sz val="10"/>
        <color rgb="FF000000"/>
        <rFont val="微软雅黑"/>
        <charset val="134"/>
      </rPr>
      <t xml:space="preserve">
④月度绩效以培训当月考核成绩为准，如考核成绩为P，则为600元月度绩效；考核成绩为M，则为1000元月度绩效；
⑤如当月有demo终极考核，带班竞赛，述职则当月绩效以此为准；
⑥如无正式考核，则当月绩效以日常考核为准，日常考核得M的数量大于P，则当月绩效成绩为M；日常考核中M和P数量相同，则培训师评估是否有提升，如有则为M，否则为P。</t>
    </r>
  </si>
  <si>
    <t>课时薪酬（随半年度绩效做调整）</t>
  </si>
  <si>
    <t>主教级别</t>
  </si>
  <si>
    <t>元/每课时</t>
  </si>
  <si>
    <t>封顶课时</t>
  </si>
  <si>
    <t>浮动说明</t>
  </si>
  <si>
    <t>助教课时费</t>
  </si>
  <si>
    <t>K1-K3</t>
  </si>
  <si>
    <t>40元/课时</t>
  </si>
  <si>
    <t>80元/课时</t>
  </si>
  <si>
    <t>详情参考“课时调整细则”</t>
  </si>
  <si>
    <t>25元/课时</t>
  </si>
  <si>
    <t>G0-G1</t>
  </si>
  <si>
    <t>50元/课时</t>
  </si>
  <si>
    <t>90元/课时</t>
  </si>
  <si>
    <t>G2-G3</t>
  </si>
  <si>
    <t>60元/课时</t>
  </si>
  <si>
    <t>100元/课时</t>
  </si>
  <si>
    <t>G4及以上</t>
  </si>
  <si>
    <t>70元/课时</t>
  </si>
  <si>
    <t>110元/课时</t>
  </si>
  <si>
    <t>带班补助</t>
  </si>
  <si>
    <t>带班数量</t>
  </si>
  <si>
    <t>补贴金额</t>
  </si>
  <si>
    <t>备注</t>
  </si>
  <si>
    <t>跨级补助说明</t>
  </si>
  <si>
    <t>带满7个班</t>
  </si>
  <si>
    <t>无</t>
  </si>
  <si>
    <t>备注：
级别划分：K1，K2，K3，G0 ，G1，G2，G3和G4A，高阶
KET类型长达半年及以上的短期班同样算为一个独立级别；
级别保护是浮动保护。</t>
  </si>
  <si>
    <t>带满8个班</t>
  </si>
  <si>
    <t>带满9个班</t>
  </si>
  <si>
    <t>带满10个班</t>
  </si>
  <si>
    <t>带4个级别且满6个班</t>
  </si>
  <si>
    <t>小于等于5个班不补助</t>
  </si>
  <si>
    <t>奖惩</t>
  </si>
  <si>
    <t>班级管理奖</t>
  </si>
  <si>
    <t>demo成单奖</t>
  </si>
  <si>
    <t>ref成单奖（斯坦/励步）</t>
  </si>
  <si>
    <t>短期班推荐奖</t>
  </si>
  <si>
    <t>月度奖惩（教师做项目有0.1-0.5加分）</t>
  </si>
  <si>
    <t>25每学员每月</t>
  </si>
  <si>
    <t>主教：60元/人</t>
  </si>
  <si>
    <t>200元/人</t>
  </si>
  <si>
    <t>主教老师推荐本班级学员报名各类短期班奖励50元/人</t>
  </si>
  <si>
    <t>月度奖惩评分≥4分 奖400</t>
  </si>
  <si>
    <t>3.5分≤月度奖惩评分＜4分 奖200</t>
  </si>
  <si>
    <t>助教：40元/人</t>
  </si>
  <si>
    <t>3分≤月度奖惩评分＜3.5分 不奖不罚</t>
  </si>
  <si>
    <t>月度奖惩评分＜3分 罚300</t>
  </si>
  <si>
    <t>升班奖惩</t>
  </si>
  <si>
    <t>奖励目标：80%</t>
  </si>
  <si>
    <t>级别</t>
  </si>
  <si>
    <t>标准</t>
  </si>
  <si>
    <t>金牌升班奖</t>
  </si>
  <si>
    <t>K1-K2</t>
  </si>
  <si>
    <t>85%-99%</t>
  </si>
  <si>
    <t>270元/人</t>
  </si>
  <si>
    <t xml:space="preserve">320元/人   </t>
  </si>
  <si>
    <t>400元/班</t>
  </si>
  <si>
    <t>K3，G0及以上</t>
  </si>
  <si>
    <t>290元/人</t>
  </si>
  <si>
    <t xml:space="preserve">340元/人   </t>
  </si>
  <si>
    <t>所有级别</t>
  </si>
  <si>
    <t>80%-85%（不含）</t>
  </si>
  <si>
    <t>100/人</t>
  </si>
  <si>
    <t>G0班级以及其他20周的学习班级人头及金牌奖励除以2</t>
  </si>
  <si>
    <t>奖励方式</t>
  </si>
  <si>
    <t>1、升班后消耗完下一个级别4周核算升班奖，随第4周后发送。
2、70%≤升班率 ＜80%，不奖不罚。                                      
3、升班率小于70%核算罚（未达成70%，按照100%向下倒扣）</t>
  </si>
  <si>
    <t>注：冻结学员正常计算班级基数，复课后补发升班奖金。（复课后进入原班，计算基数；复课后不进入原班，不计算基数。）
       转班学员不算原班基数（可以存在教师间协议，需要在办理转班之前文字发送给教务长&amp;教务）
       拆班班级按照实际周数结算升班率</t>
  </si>
  <si>
    <t>附件一</t>
  </si>
  <si>
    <t>交接班升班奖分配</t>
  </si>
  <si>
    <t>交接班</t>
  </si>
  <si>
    <t>二手班的升班奖金发放原／现主教分配说明</t>
  </si>
  <si>
    <t>1.week31-week40期间接班，升班奖金分配比例：30%（现）/70%（原）
2.week20-week30期间接班，升班奖金分配比例： 60%（现）／40%（原）
3.week6-week19期间接班，升班奖金分配比例： 80%（现）／20%（原）</t>
  </si>
  <si>
    <t>罚款说明</t>
  </si>
  <si>
    <t>1.在班人数：接班老师以正式接班起人数作为基数；原班老师以原始人数作为基数。
2.week31-week40期间交接班，罚款分配比例：-500元（现）/80%（原罚）
若收费结束后接班不则对现老师惩罚。
3.week20-week30期间交接班，罚款分配比例： 40%（现）／60%（原）
4.week6-week19期间交接班，罚款比例分配：50%（现）／30%（原）。
5.week5及以内交接班，退费一名学员按照每人300元扣款原主教，现主教进行正常升班奖罚。</t>
  </si>
  <si>
    <t>备注：自交接班起，班级升班奖惩和原主教无关。week30之前接班，现老师正常进行奖罚；week30及以后接班，现老师只奖不罚。</t>
  </si>
  <si>
    <t>附件二</t>
  </si>
  <si>
    <t>课时费调整细则</t>
  </si>
  <si>
    <t>课时费调级方案（半年）</t>
  </si>
  <si>
    <t>课时费调级</t>
  </si>
  <si>
    <t>主教班级量（带班比）
（必要条件）</t>
  </si>
  <si>
    <t>升班率</t>
  </si>
  <si>
    <t>定额（5元/级别）</t>
  </si>
  <si>
    <t>上调1级</t>
  </si>
  <si>
    <t>≥5</t>
  </si>
  <si>
    <t>≥90%</t>
  </si>
  <si>
    <t>≥85%</t>
  </si>
  <si>
    <t>下调1级</t>
  </si>
  <si>
    <t>本学部教师人才盘点排名后5% 或 升班率＜60%</t>
  </si>
  <si>
    <t>入围条件</t>
  </si>
  <si>
    <t>课质</t>
  </si>
  <si>
    <t>教学服务</t>
  </si>
  <si>
    <t>带班量</t>
  </si>
  <si>
    <t>入围标准</t>
  </si>
  <si>
    <t>半年内未出现连续两次F（每位老师半年度听课成绩不少于4次）</t>
  </si>
  <si>
    <t>无重大教学事故；无严重客户投诉；无教学违纪；无违反教师守则（判断准则：未出现校区红头文件，区域通报等）</t>
  </si>
  <si>
    <t>2个及以上主教班级的综合升班率；</t>
  </si>
  <si>
    <t>大于等于5个主教班级</t>
  </si>
  <si>
    <t>备注：核算带班量时，两个常课G0班按1个常课班级计算。</t>
  </si>
  <si>
    <t>一、月度绩效评分</t>
  </si>
  <si>
    <t>月度奖金=奖金基数*评分系数</t>
  </si>
  <si>
    <t>评分方式</t>
  </si>
  <si>
    <t>评分人</t>
  </si>
  <si>
    <t>奖金基数</t>
  </si>
  <si>
    <t>评分系数</t>
  </si>
  <si>
    <t>T2</t>
  </si>
  <si>
    <t>评分≥4，奖金系数为1.2
3≤得分＜4，奖金系数为1
2≤得分＜3，奖金系数为0.7
0≤得分＜2，奖金系数为0</t>
  </si>
  <si>
    <r>
      <rPr>
        <sz val="10"/>
        <color theme="1"/>
        <rFont val="微软雅黑"/>
        <charset val="134"/>
      </rPr>
      <t>教师：教师向直接上级进行月度项目集体复盘，直接上级评分</t>
    </r>
    <r>
      <rPr>
        <sz val="10"/>
        <color rgb="FFFF0000"/>
        <rFont val="微软雅黑"/>
        <charset val="134"/>
      </rPr>
      <t>（备注：复盘打分需要具备公开性）</t>
    </r>
  </si>
  <si>
    <t>直接上级</t>
  </si>
  <si>
    <t>T3</t>
  </si>
  <si>
    <t>二、述职评分表&amp;月度项目汇报表</t>
  </si>
  <si>
    <t>月度评分表（月初设定目标，月底考核）模板</t>
  </si>
  <si>
    <t>项目板块</t>
  </si>
  <si>
    <t>本月目标
（数据，达成效果）</t>
  </si>
  <si>
    <r>
      <rPr>
        <sz val="10"/>
        <color rgb="FF000000"/>
        <rFont val="微软雅黑"/>
        <charset val="134"/>
      </rPr>
      <t>关键步骤（具体时间，涉及到的人，方式方法）</t>
    </r>
  </si>
  <si>
    <r>
      <rPr>
        <sz val="10"/>
        <color rgb="FF000000"/>
        <rFont val="微软雅黑"/>
        <charset val="134"/>
      </rPr>
      <t>当月完成情况：</t>
    </r>
    <r>
      <rPr>
        <sz val="10"/>
        <color rgb="FF000000"/>
        <rFont val="微软雅黑"/>
        <charset val="134"/>
      </rPr>
      <t xml:space="preserve">
</t>
    </r>
    <r>
      <rPr>
        <sz val="10"/>
        <color rgb="FF000000"/>
        <rFont val="微软雅黑"/>
        <charset val="134"/>
      </rPr>
      <t>1）先说达成的结果，然后详细描述自己的工作过程。</t>
    </r>
    <r>
      <rPr>
        <sz val="10"/>
        <color rgb="FF000000"/>
        <rFont val="微软雅黑"/>
        <charset val="134"/>
      </rPr>
      <t xml:space="preserve">
</t>
    </r>
    <r>
      <rPr>
        <sz val="10"/>
        <color rgb="FF000000"/>
        <rFont val="微软雅黑"/>
        <charset val="134"/>
      </rPr>
      <t xml:space="preserve">2）呈现对工作的复盘分析，做得好的提炼的方法论是什么，做得不好的原因和改进方案是什么。 </t>
    </r>
    <r>
      <rPr>
        <sz val="10"/>
        <color rgb="FF000000"/>
        <rFont val="微软雅黑"/>
        <charset val="134"/>
      </rPr>
      <t xml:space="preserve">
</t>
    </r>
    <r>
      <rPr>
        <sz val="10"/>
        <color rgb="FF000000"/>
        <rFont val="微软雅黑"/>
        <charset val="134"/>
      </rPr>
      <t>3）月度整体管培工作的思考和反思。</t>
    </r>
  </si>
  <si>
    <t>项目评分</t>
  </si>
  <si>
    <t>产研项目：幼儿单元测优化改版</t>
  </si>
  <si>
    <t>目标：
1.完善测试，学员效果可视化，树立校区口碑，增加ref
2.更新现有版本，让老师使用更便捷，家长沟通更有抓手和方法</t>
  </si>
  <si>
    <r>
      <rPr>
        <sz val="10"/>
        <color rgb="FF000000"/>
        <rFont val="微软雅黑"/>
        <charset val="134"/>
      </rPr>
      <t>目前正在实施中，暂未完成</t>
    </r>
    <r>
      <rPr>
        <sz val="10"/>
        <color rgb="FF000000"/>
        <rFont val="微软雅黑"/>
        <charset val="134"/>
      </rPr>
      <t xml:space="preserve">
</t>
    </r>
    <r>
      <rPr>
        <sz val="10"/>
        <color rgb="FF000000"/>
        <rFont val="微软雅黑"/>
        <charset val="134"/>
      </rPr>
      <t>1）6.1-6.7 幼儿单元测调研</t>
    </r>
    <r>
      <rPr>
        <sz val="10"/>
        <color rgb="FF000000"/>
        <rFont val="微软雅黑"/>
        <charset val="134"/>
      </rPr>
      <t xml:space="preserve">
</t>
    </r>
    <r>
      <rPr>
        <sz val="10"/>
        <color rgb="FF000000"/>
        <rFont val="微软雅黑"/>
        <charset val="134"/>
      </rPr>
      <t>2）6.8-6.14</t>
    </r>
    <r>
      <rPr>
        <sz val="10"/>
        <color rgb="FF000000"/>
        <rFont val="微软雅黑"/>
        <charset val="134"/>
      </rPr>
      <t xml:space="preserve">
</t>
    </r>
    <r>
      <rPr>
        <sz val="10"/>
        <color rgb="FF000000"/>
        <rFont val="微软雅黑"/>
        <charset val="134"/>
      </rPr>
      <t>组内讨论总结单元测的问题和整改方向，并制定初步整改计划和部分分工</t>
    </r>
    <r>
      <rPr>
        <sz val="10"/>
        <color rgb="FF000000"/>
        <rFont val="微软雅黑"/>
        <charset val="134"/>
      </rPr>
      <t xml:space="preserve">
</t>
    </r>
    <r>
      <rPr>
        <sz val="10"/>
        <color rgb="FF000000"/>
        <rFont val="微软雅黑"/>
        <charset val="134"/>
      </rPr>
      <t>3）6.14-6.29</t>
    </r>
    <r>
      <rPr>
        <sz val="10"/>
        <color rgb="FF000000"/>
        <rFont val="微软雅黑"/>
        <charset val="134"/>
      </rPr>
      <t xml:space="preserve">
</t>
    </r>
    <r>
      <rPr>
        <sz val="10"/>
        <color rgb="FF000000"/>
        <rFont val="微软雅黑"/>
        <charset val="134"/>
      </rPr>
      <t>制作单元测优化模板，并在自己班级进行测试</t>
    </r>
    <r>
      <rPr>
        <sz val="10"/>
        <color rgb="FF000000"/>
        <rFont val="微软雅黑"/>
        <charset val="134"/>
      </rPr>
      <t xml:space="preserve">
</t>
    </r>
    <r>
      <rPr>
        <sz val="10"/>
        <color rgb="FF000000"/>
        <rFont val="微软雅黑"/>
        <charset val="134"/>
      </rPr>
      <t>4）7.5 区域例会上向全体幼儿老师宣讲单元测整改方向</t>
    </r>
    <r>
      <rPr>
        <sz val="10"/>
        <color rgb="FF000000"/>
        <rFont val="微软雅黑"/>
        <charset val="134"/>
      </rPr>
      <t xml:space="preserve">
</t>
    </r>
    <r>
      <rPr>
        <sz val="10"/>
        <color rgb="FF000000"/>
        <rFont val="微软雅黑"/>
        <charset val="134"/>
      </rPr>
      <t>5）7.5-7.19 单元测模板制作</t>
    </r>
    <r>
      <rPr>
        <sz val="10"/>
        <color rgb="FF000000"/>
        <rFont val="微软雅黑"/>
        <charset val="134"/>
      </rPr>
      <t xml:space="preserve">
</t>
    </r>
    <r>
      <rPr>
        <sz val="10"/>
        <color rgb="FF000000"/>
        <rFont val="微软雅黑"/>
        <charset val="134"/>
      </rPr>
      <t>Cherry：K2A的1.2.4.5和K2B的1.2</t>
    </r>
    <r>
      <rPr>
        <sz val="10"/>
        <color rgb="FF000000"/>
        <rFont val="微软雅黑"/>
        <charset val="134"/>
      </rPr>
      <t xml:space="preserve">
</t>
    </r>
    <r>
      <rPr>
        <sz val="10"/>
        <color rgb="FF000000"/>
        <rFont val="微软雅黑"/>
        <charset val="134"/>
      </rPr>
      <t>Happy：K2B的4.5和K3A的1.2</t>
    </r>
    <r>
      <rPr>
        <sz val="10"/>
        <color rgb="FF000000"/>
        <rFont val="微软雅黑"/>
        <charset val="134"/>
      </rPr>
      <t xml:space="preserve">
</t>
    </r>
    <r>
      <rPr>
        <sz val="10"/>
        <color rgb="FF000000"/>
        <rFont val="微软雅黑"/>
        <charset val="134"/>
      </rPr>
      <t>Gina：K3A的4.5和K3B的1.2.4.5</t>
    </r>
    <r>
      <rPr>
        <sz val="10"/>
        <color rgb="FF000000"/>
        <rFont val="微软雅黑"/>
        <charset val="134"/>
      </rPr>
      <t xml:space="preserve">
</t>
    </r>
    <r>
      <rPr>
        <sz val="10"/>
        <color rgb="FF000000"/>
        <rFont val="微软雅黑"/>
        <charset val="134"/>
      </rPr>
      <t>6）7.20-7.26 测试内容互检</t>
    </r>
    <r>
      <rPr>
        <sz val="10"/>
        <color rgb="FF000000"/>
        <rFont val="微软雅黑"/>
        <charset val="134"/>
      </rPr>
      <t xml:space="preserve">
</t>
    </r>
    <r>
      <rPr>
        <sz val="10"/>
        <color rgb="FF000000"/>
        <rFont val="微软雅黑"/>
        <charset val="134"/>
      </rPr>
      <t>7）7.27-7.30 试卷微调</t>
    </r>
    <r>
      <rPr>
        <sz val="10"/>
        <color rgb="FF000000"/>
        <rFont val="微软雅黑"/>
        <charset val="134"/>
      </rPr>
      <t xml:space="preserve">
</t>
    </r>
    <r>
      <rPr>
        <sz val="10"/>
        <color rgb="FF000000"/>
        <rFont val="微软雅黑"/>
        <charset val="134"/>
      </rPr>
      <t>8）8.2 制作完毕，使用新版测试</t>
    </r>
  </si>
  <si>
    <r>
      <rPr>
        <b/>
        <sz val="11"/>
        <color rgb="FF8064A2"/>
        <rFont val="微软雅黑"/>
        <charset val="134"/>
      </rPr>
      <t>结果：</t>
    </r>
    <r>
      <rPr>
        <b/>
        <sz val="11"/>
        <color rgb="FF8064A2"/>
        <rFont val="微软雅黑"/>
        <charset val="134"/>
      </rPr>
      <t xml:space="preserve">
</t>
    </r>
    <r>
      <rPr>
        <b/>
        <sz val="11"/>
        <color rgb="FF8064A2"/>
        <rFont val="微软雅黑"/>
        <charset val="134"/>
      </rPr>
      <t>目前处在单元测制作过程中，到7.19完成制作；单元测优化具体标准已出（包含题型，分值，分数标准，解读话术，提升计划）</t>
    </r>
    <r>
      <rPr>
        <b/>
        <sz val="11"/>
        <color rgb="FF8064A2"/>
        <rFont val="微软雅黑"/>
        <charset val="134"/>
      </rPr>
      <t xml:space="preserve">
</t>
    </r>
    <r>
      <rPr>
        <b/>
        <sz val="11"/>
        <color rgb="FF8064A2"/>
        <rFont val="微软雅黑"/>
        <charset val="134"/>
      </rPr>
      <t>工作过程：</t>
    </r>
    <r>
      <rPr>
        <b/>
        <sz val="11"/>
        <color rgb="FF8064A2"/>
        <rFont val="微软雅黑"/>
        <charset val="134"/>
      </rPr>
      <t xml:space="preserve">
</t>
    </r>
    <r>
      <rPr>
        <b/>
        <sz val="11"/>
        <color rgb="FF8064A2"/>
        <rFont val="微软雅黑"/>
        <charset val="134"/>
      </rPr>
      <t>通过和老师的调研以及使用过程中发现目前幼儿单元测问题不是特别大，主要集中在各个单元测试的版块固定化，AB级别不同能力变化，以及如何与下一级别做好衔接体现不明显。针对这一问题，我们将单元测板块设定为单词句子，小故事，CLIL，phonics，同时讨论出K2级别A和B之间要有认读能力的变化，K2A以听力为主，K2B加入词性的题目，K3级别主要要体现在和G1级别的衔接。</t>
    </r>
    <r>
      <rPr>
        <b/>
        <sz val="11"/>
        <color rgb="FF8064A2"/>
        <rFont val="微软雅黑"/>
        <charset val="134"/>
      </rPr>
      <t xml:space="preserve">
</t>
    </r>
    <r>
      <rPr>
        <b/>
        <sz val="11"/>
        <color rgb="FF8064A2"/>
        <rFont val="微软雅黑"/>
        <charset val="134"/>
      </rPr>
      <t>但是在制作和汇报的过程中发现，有了大体的标准后，大家制作完的模板标准还是比较混乱，不够统一，针对这一现象，我们6.30又在小组内进行集中讨论，确定最终具体的标准（确定了题型，分数标准）</t>
    </r>
    <r>
      <rPr>
        <b/>
        <sz val="11"/>
        <color rgb="FF8064A2"/>
        <rFont val="微软雅黑"/>
        <charset val="134"/>
      </rPr>
      <t xml:space="preserve">
</t>
    </r>
    <r>
      <rPr>
        <b/>
        <sz val="11"/>
        <color rgb="FF8064A2"/>
        <rFont val="微软雅黑"/>
        <charset val="134"/>
      </rPr>
      <t>复盘：</t>
    </r>
    <r>
      <rPr>
        <b/>
        <sz val="11"/>
        <color rgb="FF8064A2"/>
        <rFont val="微软雅黑"/>
        <charset val="134"/>
      </rPr>
      <t xml:space="preserve">
</t>
    </r>
    <r>
      <rPr>
        <b/>
        <sz val="11"/>
        <color rgb="FF8064A2"/>
        <rFont val="微软雅黑"/>
        <charset val="134"/>
      </rPr>
      <t>整个项目到目前为止大的节奏在按部就班完成，但是中间的过程有些没有把控到位，导致有滞后现象</t>
    </r>
    <r>
      <rPr>
        <b/>
        <sz val="11"/>
        <color rgb="FF8064A2"/>
        <rFont val="微软雅黑"/>
        <charset val="134"/>
      </rPr>
      <t xml:space="preserve">
</t>
    </r>
    <r>
      <rPr>
        <b/>
        <sz val="11"/>
        <color rgb="FF8064A2"/>
        <rFont val="微软雅黑"/>
        <charset val="134"/>
      </rPr>
      <t>好的点：整个项目到目前为止大的节奏在按部就班完成；整体单元测节奏适中，且大家在一起讨论的时候效率高，有高质量产出</t>
    </r>
    <r>
      <rPr>
        <b/>
        <sz val="11"/>
        <color rgb="FF8064A2"/>
        <rFont val="微软雅黑"/>
        <charset val="134"/>
      </rPr>
      <t xml:space="preserve">
</t>
    </r>
    <r>
      <rPr>
        <b/>
        <sz val="11"/>
        <color rgb="FF8064A2"/>
        <rFont val="微软雅黑"/>
        <charset val="134"/>
      </rPr>
      <t>不好的点：中间的过程有些没有把控到位，导致有滞后现象，同时因为没有一根主线，所有有些讨论的事情占用了大家时间。</t>
    </r>
    <r>
      <rPr>
        <b/>
        <sz val="11"/>
        <color rgb="FF8064A2"/>
        <rFont val="微软雅黑"/>
        <charset val="134"/>
      </rPr>
      <t xml:space="preserve">
</t>
    </r>
    <r>
      <rPr>
        <b/>
        <sz val="11"/>
        <color rgb="FF8064A2"/>
        <rFont val="微软雅黑"/>
        <charset val="134"/>
      </rPr>
      <t>所以后续再有类似的项目，要在每次讨论时制定出具体的结果和回收计划，同时在关键节点进行提醒，不能将事情都拖到最后，每个人都有一定的惰性，包括我自己在内，既然做，就在心里一直提着这根线，也是我目前一直在改正我自己的一个习惯</t>
    </r>
  </si>
  <si>
    <t>外化项目：第一季度区域外化--励步杯幼儿口语大赛</t>
  </si>
  <si>
    <t>目标：
1.预计覆盖三个校区幼儿阶段280名学员
2.将幼儿阶段的口语能力进行凸显外化</t>
  </si>
  <si>
    <r>
      <rPr>
        <sz val="10"/>
        <color rgb="FF000000"/>
        <rFont val="微软雅黑"/>
        <charset val="134"/>
      </rPr>
      <t>1）3.22 进行区域宣讲</t>
    </r>
    <r>
      <rPr>
        <sz val="10"/>
        <color rgb="FF000000"/>
        <rFont val="微软雅黑"/>
        <charset val="134"/>
      </rPr>
      <t xml:space="preserve">
</t>
    </r>
    <r>
      <rPr>
        <sz val="10"/>
        <color rgb="FF000000"/>
        <rFont val="微软雅黑"/>
        <charset val="134"/>
      </rPr>
      <t>2）3.22--3.29 老师宣讲期+资料制作</t>
    </r>
    <r>
      <rPr>
        <sz val="10"/>
        <color rgb="FF000000"/>
        <rFont val="微软雅黑"/>
        <charset val="134"/>
      </rPr>
      <t xml:space="preserve">
</t>
    </r>
    <r>
      <rPr>
        <sz val="10"/>
        <color rgb="FF000000"/>
        <rFont val="微软雅黑"/>
        <charset val="134"/>
      </rPr>
      <t>3）3.30--3.31 报名</t>
    </r>
    <r>
      <rPr>
        <sz val="10"/>
        <color rgb="FF000000"/>
        <rFont val="微软雅黑"/>
        <charset val="134"/>
      </rPr>
      <t xml:space="preserve">
</t>
    </r>
    <r>
      <rPr>
        <sz val="10"/>
        <color rgb="FF000000"/>
        <rFont val="微软雅黑"/>
        <charset val="134"/>
      </rPr>
      <t>4）4.1--4.9 学生复习打卡期</t>
    </r>
    <r>
      <rPr>
        <sz val="10"/>
        <color rgb="FF000000"/>
        <rFont val="微软雅黑"/>
        <charset val="134"/>
      </rPr>
      <t xml:space="preserve">
</t>
    </r>
    <r>
      <rPr>
        <sz val="10"/>
        <color rgb="FF000000"/>
        <rFont val="微软雅黑"/>
        <charset val="134"/>
      </rPr>
      <t>5）4.12--4.16 测试期</t>
    </r>
    <r>
      <rPr>
        <sz val="10"/>
        <color rgb="FF000000"/>
        <rFont val="微软雅黑"/>
        <charset val="134"/>
      </rPr>
      <t xml:space="preserve">
</t>
    </r>
    <r>
      <rPr>
        <sz val="10"/>
        <color rgb="FF000000"/>
        <rFont val="微软雅黑"/>
        <charset val="134"/>
      </rPr>
      <t>6）4.19--4.30 老师沟通期</t>
    </r>
  </si>
  <si>
    <t>结果：此项目已在今年4月底结束，实际覆盖255名学员，95分及以上优秀学员102人，占比40%，三校40名老师参与其中；家长评价高且火爆，一些老师因此还收获了新的ref
过程：①活动最前期和Alice捋顺了整体项目节奏，制定了清晰的时间轴，并在区域例会上和老师们进行宣讲；但是因为宣讲前没有进行PPT过堂，整体宣讲时呈现不是很好，老师会有些混乱且没有逻辑，所以以后再遇到这种情况，会提前找人过堂PPT，确保能够讲清晰
②活动中，报名期间，好的地方是活动很火爆，很多家长遗憾没有抢到，但是出现了各种家长报错信息的情况，导致增加很多处理更改信息的情况，实属不必要的麻烦；因此以后再遇到二维码报名活动首先需要跟家长宣讲时同频好，报错信息不予更改，同时跟市场老师沟通好，到时间点再进行报名开放，并到时间及时关闭；
③资料制作期间，辅导资料在节点前完成，但是质量和数量参差不齐，后续需要提前制定好详细的辅导资料的标准和要求，制定出细致的模板，同时找到负责人进行检查，在完成时间节点前进行提醒，同时再次回收
④辅导期间，人员分工提前安排到位，但是复习节奏没有统一，所以在复习阶段各自辅导群节奏不一致；后续需要在前期进行统一要求
⑤测试前准备细节点把控到位，但是测试标准虽然进行了插标，但是实际测试中还是有不同，后续再有口语类型的测试，测试标准要按照考试问题进行插标，录制视频，并标注出最佳答案
⑥测试中，家长学员参与度高，很积极，但是现场管理混乱，由于没有在各自校区安排好现场管理协调人员，所以在签到和候考时混乱；因此后续在测试前拉会，每个校区找好跟盯负责人
⑦测试后，对于如何外化没有提前预期，所以本次活动外化不够及时且波澜较小，而且中间没有及时和老师进行同频，在关键节点进行外化；后续要提前将外化计划整理出来，从活动预热，辅导期间，到测试中，测试后这些节点都需要进行外化，既然办就要办的水花大一些
整体反思：
一场好的外化活动，除了覆盖人员以外，活动中的细节一定要把控好，同时预设出来会遇到的问题，并提前想到解决办法，只要有人参与的活动就需要找到负责人进行统一回收，以小单位回收，并在关键节点总负责人进行回收；标准要具体，不能模棱两可，避免因为标准不直接具体导致的无用功</t>
  </si>
  <si>
    <t>三、项目和评分维度</t>
  </si>
  <si>
    <t>T2项目评分表</t>
  </si>
  <si>
    <t>考核指标</t>
  </si>
  <si>
    <t>描述</t>
  </si>
  <si>
    <t>衡量标准</t>
  </si>
  <si>
    <t>评分</t>
  </si>
  <si>
    <t>得分</t>
  </si>
  <si>
    <t>教学项目</t>
  </si>
  <si>
    <t>包含但不限于：①做不同级别黄金五分钟【家长理念】和【学习规划】的PPT模板框架；
②制定提升学习效果的方案，包含关键步骤和落地规划，用典型孩子做案例，从数据、考试成绩等多个维度做梳理；
③做教学理念规划和梳理家长理念的工具；
④绘本阅读项目，例如研究家长普遍问题答疑套路，分析典型学生阅读数据等；
⑤专业解读新课标英语部分；
⑥研究每个级别线上AI课在励步体系承上启下的作用，进行举例和拆分；
⑦外化项目，比如外化活动，颁奖典礼等</t>
  </si>
  <si>
    <t>打破常规，项目中有创新的方式方法，并超预期达成目标，且形成的方法论能长效复制</t>
  </si>
  <si>
    <t>及时复盘，总结出方法论，并能分享给年级组或教学部伙伴</t>
  </si>
  <si>
    <t>能够达成项目目标，能够主动推进项目进展，及时落实直级领导的要求。</t>
  </si>
  <si>
    <t>经过大量贴身拉带和帮扶达成项目目标</t>
  </si>
  <si>
    <t>未达成目标</t>
  </si>
  <si>
    <t>T3项目评分表（每月选择2个即可，每个项目权重可根据实际安排分配，权重相加等于100%）</t>
  </si>
  <si>
    <t>权重</t>
  </si>
  <si>
    <t>过课</t>
  </si>
  <si>
    <t>从备课阶段做把控，保障团队的授课质量</t>
  </si>
  <si>
    <t>落地解决方案的过程中，评估优点和不足，不断优化解决方案，授课质量有明显提升</t>
  </si>
  <si>
    <t>及时把过课优化方案反馈给上级，并实际跟进老师练课或听课，并解决其过课中发现的问题</t>
  </si>
  <si>
    <t>按计划完成过课任务，并主动向上级及时反馈问题和个人的建议</t>
  </si>
  <si>
    <t>担任周过课的负责人，按规定点评、给出教师指导建议</t>
  </si>
  <si>
    <t>未达到以上目标</t>
  </si>
  <si>
    <t>教研培训</t>
  </si>
  <si>
    <t>提升产品效能，促进产品优化，提升个人和团队整体的专业能力</t>
  </si>
  <si>
    <t>能结合自己的专业，经验，产品特点，通过学习进行创新，通过实践后成为可复制的教研培训项目</t>
  </si>
  <si>
    <t>结合听课情况，发现团队实际教学问题，并反馈给上级，推动开展针对性教研活动</t>
  </si>
  <si>
    <t>所完成的教研任务被培训人及校区负责人评价均在8分以上</t>
  </si>
  <si>
    <t>完成校区分配的教研及培训板块任务，评分在7分以上</t>
  </si>
  <si>
    <t>未达成以上目标</t>
  </si>
  <si>
    <t>巡课</t>
  </si>
  <si>
    <t>在授课过程中，真实的评估授课质量，确保教师的授课态度、授课质量和教学效果是达标的</t>
  </si>
  <si>
    <t>通过大量巡课，发现团队共性问题，并制定出相应的解决方案，且落实到位</t>
  </si>
  <si>
    <t>通过长线听课，帮助老师解决了班级实际的教学问题，提升了老师授课质量</t>
  </si>
  <si>
    <t>按计划完成巡课任务，并及时向老师反馈问题，且给帮扶，对于问题班（张口频次低于70%）第一时间向上级反馈</t>
  </si>
  <si>
    <t>巡课时，带着教师本班上周数据和本周教案看课，听课，评课，给老师的教学技术评分，关注班级孩子的反馈和互动</t>
  </si>
  <si>
    <t>未完成以上目标</t>
  </si>
  <si>
    <t>负责教学相关项目</t>
  </si>
  <si>
    <t>岗位名称</t>
  </si>
  <si>
    <t>月度</t>
  </si>
  <si>
    <t>季度奖金=升班奖金+评分奖金</t>
  </si>
  <si>
    <t>年度奖金</t>
  </si>
  <si>
    <t>基本工资</t>
  </si>
  <si>
    <t>岗位工资</t>
  </si>
  <si>
    <t>升班奖金</t>
  </si>
  <si>
    <t>季度评分奖金</t>
  </si>
  <si>
    <t>年级主管
（≤5个班）</t>
  </si>
  <si>
    <t>1500-2000
（根据班量带宽）</t>
  </si>
  <si>
    <r>
      <rPr>
        <sz val="10"/>
        <color rgb="FF000000"/>
        <rFont val="微软雅黑"/>
        <charset val="134"/>
      </rPr>
      <t xml:space="preserve">升班奖金=基数*系数
基数=季度奖金基数*50%
系数如下：
80%≤升班率＜季度标，系数=0.7
升班率=季度标，系数=1
</t>
    </r>
    <r>
      <rPr>
        <sz val="10"/>
        <rFont val="微软雅黑"/>
        <charset val="134"/>
      </rPr>
      <t>全年找回
在同一财年内，每个季度核算截至到当前为止的整体升班达标情况，如达标则补回奖金。
举例：
Q1升班率80%，季度升班奖金1225；
Q2升班率达标，得奖金1750；
截止到Q3，Q1+Q2+Q3实际升班人头达整体目标值，除发放Q3奖金1750外，补发525</t>
    </r>
  </si>
  <si>
    <t>评分奖金=基数*系数
基数=季度奖金基数*50%
系数如下：
得分=5，系数1.5
4≤得分＜5，系数1.2
3≤得分＜4，系数1
2≤得分＜3，系数0.7
0≤得分＜2，系数0</t>
  </si>
  <si>
    <r>
      <rPr>
        <sz val="10"/>
        <color rgb="FF000000"/>
        <rFont val="微软雅黑"/>
        <charset val="134"/>
      </rPr>
      <t>全年升班率≥85%，
年度奖金=季度奖金基数奖金*4*0.5
备注：年级主管、教学AD、培训师均按这个奖励，</t>
    </r>
    <r>
      <rPr>
        <sz val="10"/>
        <color rgb="FFFF0000"/>
        <rFont val="微软雅黑"/>
        <charset val="134"/>
      </rPr>
      <t>3月15日发放（前提是达到2000人，相当于两个Q的季度奖）</t>
    </r>
  </si>
  <si>
    <t>T4</t>
  </si>
  <si>
    <t>教学AD
（2-3班）</t>
  </si>
  <si>
    <t>2000-2500</t>
  </si>
  <si>
    <t xml:space="preserve">管理带宽：
学员100-300，2500
学员300-500，3500
学员500-700，4500
学员大于700，6500
</t>
  </si>
  <si>
    <t>T5</t>
  </si>
  <si>
    <t>2500-3500</t>
  </si>
  <si>
    <t>T6</t>
  </si>
  <si>
    <t>4000-5000</t>
  </si>
  <si>
    <t>班级管理费</t>
  </si>
  <si>
    <t>幼儿阶段</t>
  </si>
  <si>
    <t>600/班/月</t>
  </si>
  <si>
    <t>①当教管期间无课时费；
②根据升班率考核，以做教管前的课标为基数，正常记录课时费晋级或降级；
③demo课时费按照正常结算</t>
  </si>
  <si>
    <t>小学低阶</t>
  </si>
  <si>
    <t>700/班/月</t>
  </si>
  <si>
    <t>小学高阶（G4及以上）</t>
  </si>
  <si>
    <t>900/班/月</t>
  </si>
  <si>
    <t>其他奖金部分：demo成单奖，ref成单奖，短期班推荐奖，升班奖惩，交接班奖金分配均和教师方案相同（无全年贡献奖和月度奖惩部分）</t>
  </si>
  <si>
    <t>教学AD绩效</t>
  </si>
  <si>
    <t>被考核人姓名：</t>
  </si>
  <si>
    <t>考核评分：</t>
  </si>
  <si>
    <t>奖金：</t>
  </si>
  <si>
    <t>考核类别</t>
  </si>
  <si>
    <t>说明</t>
  </si>
  <si>
    <t>评分标准</t>
  </si>
  <si>
    <t>产出结果</t>
  </si>
  <si>
    <t>满班率</t>
  </si>
  <si>
    <t>平均在读学员／班级总数</t>
  </si>
  <si>
    <t>卓越：13.5及以上</t>
  </si>
  <si>
    <t>优秀：12.8≤满班率＜13.5</t>
  </si>
  <si>
    <t>合格：12≤满班率＜12.8</t>
  </si>
  <si>
    <t>待提升：11.5≤满班率＜12</t>
  </si>
  <si>
    <t>不合格：低于目标值11.5</t>
  </si>
  <si>
    <t>转正中教时段比</t>
  </si>
  <si>
    <t>班级总数／所有转正教师人数（备注：转正后第四个月开始核算分子分母）</t>
  </si>
  <si>
    <t>卓越:高于等于7</t>
  </si>
  <si>
    <t>优秀：转正时段比≥6</t>
  </si>
  <si>
    <t>合格：5≤转正时段比＜6</t>
  </si>
  <si>
    <t>待提升：4.0≤转正时段比＜5</t>
  </si>
  <si>
    <t>不合格：转正时段比＜4.0</t>
  </si>
  <si>
    <t>ref成单占比
（Sherry判定和备注有效性）</t>
  </si>
  <si>
    <t>ref成单占比率=教师ref成单数/在读学员数</t>
  </si>
  <si>
    <t>卓越：ref成单占比≥6%</t>
  </si>
  <si>
    <t>优秀：4.5%≤ref成单占比＜6%</t>
  </si>
  <si>
    <t>合格：3.5%≤ref成单占比＜4.5%</t>
  </si>
  <si>
    <t>待提升：2%≤ref成单占比＜3.5%</t>
  </si>
  <si>
    <t>不合格：ref成单占比＜2%</t>
  </si>
  <si>
    <t>人才梯队</t>
  </si>
  <si>
    <t>健全人才梯队，基于人才梯队的长线发展制定和落地解决方案。
健全的梯队：每个AD下配备年级主管和校培训师</t>
  </si>
  <si>
    <t>能穿透性的解读成功的培养案例，并主动赋能给其他校区AD</t>
  </si>
  <si>
    <t>基于目标人选的能力分析，比对胜任力模型的差异，对人选的培养有创新的且行之有效的方式，超预期达成本阶段的目标胜任力</t>
  </si>
  <si>
    <t>基于校区健康及需求情况，季度制定培养人才的目标和计划，并按计划落地执行，达成季度目标。（新师/T级/二责）</t>
  </si>
  <si>
    <t>基于校区健康及需求情况，季度制定培养人才的目标和计划，并按计划落地执行</t>
  </si>
  <si>
    <t>未按计划落地执行</t>
  </si>
  <si>
    <t>新师转正率</t>
  </si>
  <si>
    <t>新师转正率=本季度转正人数/上季度入职人数
①新师的界定：在哪个校区就谁负责
②如果当季度有未满一年的老师离职，则此项评分减1分</t>
  </si>
  <si>
    <t>新师转正率≥70%</t>
  </si>
  <si>
    <t>65%≤新师转正率＜70%</t>
  </si>
  <si>
    <t>60%≤新师转正率＜65%</t>
  </si>
  <si>
    <t>55%≤新师转正率＜60%</t>
  </si>
  <si>
    <t>新师转正率低于55%</t>
  </si>
  <si>
    <t>合计</t>
  </si>
  <si>
    <t>年级主管绩效</t>
  </si>
  <si>
    <t>人才培养和留存</t>
  </si>
  <si>
    <t>安排、跟进、辅导教师执行项目，并辅助新师的留存工作
留存率=当季度留存新师/（当季度入职新师-淘汰新师）</t>
  </si>
  <si>
    <t>T2和T3老师经过主动拉带有意愿向上发展或有能力单独承担校区事务（成为储备管培人选），或本季度新师留存率达70%</t>
  </si>
  <si>
    <t>在职教师项目考评拿到优秀结果，或负责帮带的新师留存率达60%</t>
  </si>
  <si>
    <t>主动拉带在职教师和新师，辅导教师为达成目标制定计划，跟盯过程，拿到结果（拉带做项目的教师和新师）</t>
  </si>
  <si>
    <t>能按时执行拉带任务，拉带的项目教师正常负责项目无大问题</t>
  </si>
  <si>
    <t>未按时执行拉带任务</t>
  </si>
  <si>
    <t>级别薪资</t>
  </si>
  <si>
    <t>季度=基数*系数</t>
  </si>
  <si>
    <t>年度达标奖金</t>
  </si>
  <si>
    <t>项目奖金</t>
  </si>
  <si>
    <t>月度述职评分</t>
  </si>
  <si>
    <t>绩效基数</t>
  </si>
  <si>
    <t>绩效系数</t>
  </si>
  <si>
    <t>培训师（≤5个班）</t>
  </si>
  <si>
    <t>得分=5，奖岗位工资*50%
4≤得分＜5，奖岗位工资*30%
3.5≤得分＜4，奖岗位工资*15%
3≤得分＜3.5，不奖不罚
2≤得分＜3，罚岗位工资*30%
0≤得分＜2，罚岗位工资*50%</t>
  </si>
  <si>
    <t>得分=3分，系数1.3
2≤得分＜3，系数1
得分＜2分，系数0.7</t>
  </si>
  <si>
    <t>全年升班率≥85%，
年度奖金=季度奖金基数奖金*4*0.5
备注：年级主管、教学AD、培训师均按这个奖励，3月15日发放</t>
  </si>
  <si>
    <t>按产研项目付费，要求：
①产研项目是创造性的，总部没有的项目，例如创建一个新课程或做一个不同的产品，或创建短期班；
②且能解决现实的重要问题，提升产品效能或补充产品效能
备注：
①需根据需求发标；
②按时间和大小付费；
③不含现在产品的拓展培训</t>
  </si>
  <si>
    <t>教研经理</t>
  </si>
  <si>
    <t>3000-4000</t>
  </si>
  <si>
    <t>季度评分表</t>
  </si>
  <si>
    <t>评分表</t>
  </si>
  <si>
    <t>姓名：</t>
  </si>
  <si>
    <t>评分季度：</t>
  </si>
  <si>
    <t>最终得分：</t>
  </si>
  <si>
    <t>当季度任务评分</t>
  </si>
  <si>
    <t>本季度任务</t>
  </si>
  <si>
    <t>完成情况</t>
  </si>
  <si>
    <t>季度任务评分按季度需完成各项任务评分的平均分计算，标准如下：
5分：有深度思考且对业务流程进行了实质性地优化迭代。
4分：有优秀成绩体现。
3分：完成且主动推进（项目穿透性落地，培训成果对业务端有帮助，教师某一技能得到明显的提升）
2分：完成（按正常节奏开展并完成工作，过程中存在被跟盯和催促）
0分：未完成或有重大失误</t>
  </si>
  <si>
    <t>执行力</t>
  </si>
  <si>
    <t>如未达成要求，整体减分：
减1分：落地某项工作需上级反复催促超3次
减2分：经上级反复催促仍未落地某项任务</t>
  </si>
  <si>
    <t>总分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</si>
</sst>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
      <color theme="1"/>
      <name val="微软雅黑"/>
      <charset val="134"/>
    </font>
    <font>
      <sz val="10"/>
      <color rgb="FF000000"/>
      <name val="微软雅黑"/>
      <charset val="134"/>
    </font>
    <font>
      <b/>
      <sz val="10"/>
      <color rgb="FFFF0000"/>
      <name val="微软雅黑"/>
      <charset val="134"/>
    </font>
    <font>
      <sz val="10"/>
      <color theme="1"/>
      <name val="宋体"/>
      <charset val="134"/>
      <scheme val="minor"/>
    </font>
    <font>
      <b/>
      <sz val="10"/>
      <color rgb="FF000000"/>
      <name val="微软雅黑"/>
      <charset val="134"/>
    </font>
    <font>
      <sz val="10"/>
      <name val="微软雅黑"/>
      <charset val="134"/>
    </font>
    <font>
      <b/>
      <sz val="10"/>
      <name val="微软雅黑"/>
      <charset val="134"/>
    </font>
    <font>
      <b/>
      <sz val="11"/>
      <color rgb="FFFF0000"/>
      <name val="宋体"/>
      <charset val="134"/>
      <scheme val="minor"/>
    </font>
    <font>
      <sz val="10"/>
      <color rgb="FFFF0000"/>
      <name val="微软雅黑"/>
      <charset val="134"/>
    </font>
    <font>
      <b/>
      <sz val="11"/>
      <color rgb="FF8064A2"/>
      <name val="微软雅黑"/>
      <charset val="134"/>
    </font>
    <font>
      <sz val="12"/>
      <color theme="1"/>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DBE5F1"/>
        <bgColor indexed="64"/>
      </patternFill>
    </fill>
    <fill>
      <patternFill patternType="solid">
        <fgColor rgb="FFFDEADA"/>
        <bgColor indexed="64"/>
      </patternFill>
    </fill>
    <fill>
      <patternFill patternType="solid">
        <fgColor rgb="FFFF0000"/>
        <bgColor indexed="64"/>
      </patternFill>
    </fill>
    <fill>
      <patternFill patternType="solid">
        <fgColor rgb="FF70A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8" borderId="25">
      <alignment vertical="center"/>
    </xf>
    <xf numFmtId="0" fontId="15" fillId="0" borderId="0">
      <alignment vertical="center"/>
    </xf>
    <xf numFmtId="0" fontId="16" fillId="0" borderId="0">
      <alignment vertical="center"/>
    </xf>
    <xf numFmtId="0" fontId="17" fillId="0" borderId="0">
      <alignment vertical="center"/>
    </xf>
    <xf numFmtId="0" fontId="18" fillId="0" borderId="26">
      <alignment vertical="center"/>
    </xf>
    <xf numFmtId="0" fontId="19" fillId="0" borderId="26">
      <alignment vertical="center"/>
    </xf>
    <xf numFmtId="0" fontId="20" fillId="0" borderId="27">
      <alignment vertical="center"/>
    </xf>
    <xf numFmtId="0" fontId="20" fillId="0" borderId="0">
      <alignment vertical="center"/>
    </xf>
    <xf numFmtId="0" fontId="21" fillId="9" borderId="28">
      <alignment vertical="center"/>
    </xf>
    <xf numFmtId="0" fontId="22" fillId="10" borderId="29">
      <alignment vertical="center"/>
    </xf>
    <xf numFmtId="0" fontId="23" fillId="10" borderId="28">
      <alignment vertical="center"/>
    </xf>
    <xf numFmtId="0" fontId="24" fillId="11" borderId="30">
      <alignment vertical="center"/>
    </xf>
    <xf numFmtId="0" fontId="25" fillId="0" borderId="31">
      <alignment vertical="center"/>
    </xf>
    <xf numFmtId="0" fontId="26" fillId="0" borderId="32">
      <alignment vertical="center"/>
    </xf>
    <xf numFmtId="0" fontId="27" fillId="12" borderId="0">
      <alignment vertical="center"/>
    </xf>
    <xf numFmtId="0" fontId="28" fillId="13" borderId="0">
      <alignment vertical="center"/>
    </xf>
    <xf numFmtId="0" fontId="29" fillId="14" borderId="0">
      <alignment vertical="center"/>
    </xf>
    <xf numFmtId="0" fontId="30" fillId="15" borderId="0">
      <alignment vertical="center"/>
    </xf>
    <xf numFmtId="0" fontId="31" fillId="16" borderId="0">
      <alignment vertical="center"/>
    </xf>
    <xf numFmtId="0" fontId="31" fillId="17" borderId="0">
      <alignment vertical="center"/>
    </xf>
    <xf numFmtId="0" fontId="30" fillId="18" borderId="0">
      <alignment vertical="center"/>
    </xf>
    <xf numFmtId="0" fontId="30" fillId="19" borderId="0">
      <alignment vertical="center"/>
    </xf>
    <xf numFmtId="0" fontId="31" fillId="20" borderId="0">
      <alignment vertical="center"/>
    </xf>
    <xf numFmtId="0" fontId="31" fillId="21" borderId="0">
      <alignment vertical="center"/>
    </xf>
    <xf numFmtId="0" fontId="30" fillId="22" borderId="0">
      <alignment vertical="center"/>
    </xf>
    <xf numFmtId="0" fontId="30" fillId="23" borderId="0">
      <alignment vertical="center"/>
    </xf>
    <xf numFmtId="0" fontId="31" fillId="24" borderId="0">
      <alignment vertical="center"/>
    </xf>
    <xf numFmtId="0" fontId="31" fillId="25" borderId="0">
      <alignment vertical="center"/>
    </xf>
    <xf numFmtId="0" fontId="30" fillId="26" borderId="0">
      <alignment vertical="center"/>
    </xf>
    <xf numFmtId="0" fontId="30" fillId="27" borderId="0">
      <alignment vertical="center"/>
    </xf>
    <xf numFmtId="0" fontId="31" fillId="28" borderId="0">
      <alignment vertical="center"/>
    </xf>
    <xf numFmtId="0" fontId="31" fillId="29" borderId="0">
      <alignment vertical="center"/>
    </xf>
    <xf numFmtId="0" fontId="30" fillId="30" borderId="0">
      <alignment vertical="center"/>
    </xf>
    <xf numFmtId="0" fontId="30" fillId="31" borderId="0">
      <alignment vertical="center"/>
    </xf>
    <xf numFmtId="0" fontId="31" fillId="32" borderId="0">
      <alignment vertical="center"/>
    </xf>
    <xf numFmtId="0" fontId="31" fillId="33" borderId="0">
      <alignment vertical="center"/>
    </xf>
    <xf numFmtId="0" fontId="30" fillId="34" borderId="0">
      <alignment vertical="center"/>
    </xf>
    <xf numFmtId="0" fontId="30" fillId="35" borderId="0">
      <alignment vertical="center"/>
    </xf>
    <xf numFmtId="0" fontId="31" fillId="36" borderId="0">
      <alignment vertical="center"/>
    </xf>
    <xf numFmtId="0" fontId="31" fillId="37" borderId="0">
      <alignment vertical="center"/>
    </xf>
    <xf numFmtId="0" fontId="30" fillId="38" borderId="0">
      <alignment vertical="center"/>
    </xf>
  </cellStyleXfs>
  <cellXfs count="174">
    <xf numFmtId="0" fontId="0" fillId="0" borderId="0" xfId="0" applyAlignment="1">
      <alignment vertical="center"/>
    </xf>
    <xf numFmtId="0" fontId="1" fillId="0" borderId="0" xfId="0" applyFont="1" applyFill="1" applyAlignment="1">
      <alignment vertical="center"/>
    </xf>
    <xf numFmtId="0" fontId="1" fillId="0" borderId="0" xfId="0" applyFont="1">
      <alignment vertical="center"/>
    </xf>
    <xf numFmtId="0" fontId="1" fillId="0"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0" xfId="0" applyFont="1" applyFill="1" applyAlignment="1">
      <alignment vertical="center"/>
    </xf>
    <xf numFmtId="0" fontId="1"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wrapText="1"/>
    </xf>
    <xf numFmtId="0" fontId="3" fillId="0" borderId="2" xfId="0" applyFont="1" applyFill="1" applyBorder="1" applyAlignment="1">
      <alignment horizontal="center" vertical="center"/>
    </xf>
    <xf numFmtId="0" fontId="2" fillId="3" borderId="3"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2" fillId="0"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3" borderId="4" xfId="0" applyFont="1" applyFill="1" applyBorder="1" applyAlignment="1">
      <alignment horizontal="left" vertical="center"/>
    </xf>
    <xf numFmtId="0" fontId="2" fillId="0" borderId="3" xfId="0" applyFont="1" applyFill="1" applyBorder="1" applyAlignment="1">
      <alignment horizontal="center" vertical="center"/>
    </xf>
    <xf numFmtId="0" fontId="2" fillId="2" borderId="2" xfId="0" applyFont="1" applyFill="1" applyBorder="1" applyAlignment="1" applyProtection="1">
      <alignment horizontal="center" vertical="center"/>
    </xf>
    <xf numFmtId="0" fontId="2" fillId="0" borderId="2" xfId="0" applyFont="1" applyFill="1" applyBorder="1" applyAlignment="1" applyProtection="1">
      <alignment horizontal="center"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center" vertical="center"/>
    </xf>
    <xf numFmtId="0" fontId="2" fillId="0" borderId="3" xfId="0" applyFont="1" applyFill="1" applyBorder="1" applyAlignment="1" applyProtection="1">
      <alignment horizontal="center" vertical="center" wrapText="1"/>
    </xf>
    <xf numFmtId="0" fontId="2" fillId="3" borderId="3" xfId="0" applyFont="1" applyFill="1" applyBorder="1" applyAlignment="1" applyProtection="1">
      <alignment horizontal="center" vertical="center"/>
    </xf>
    <xf numFmtId="0" fontId="1" fillId="0" borderId="3" xfId="0" applyFont="1" applyFill="1" applyBorder="1" applyAlignment="1">
      <alignment horizontal="left" vertical="center" wrapText="1"/>
    </xf>
    <xf numFmtId="0" fontId="2" fillId="0" borderId="5" xfId="0" applyFont="1" applyFill="1" applyBorder="1" applyAlignment="1" applyProtection="1">
      <alignment horizontal="center" vertical="center"/>
    </xf>
    <xf numFmtId="0" fontId="2" fillId="0" borderId="5" xfId="0" applyFont="1" applyFill="1" applyBorder="1" applyAlignment="1" applyProtection="1">
      <alignment vertical="center"/>
    </xf>
    <xf numFmtId="0" fontId="2" fillId="0" borderId="6" xfId="0" applyFont="1" applyFill="1" applyBorder="1" applyAlignment="1" applyProtection="1">
      <alignment horizontal="center" vertical="center"/>
    </xf>
    <xf numFmtId="0" fontId="2" fillId="0" borderId="7" xfId="0" applyFont="1" applyFill="1" applyBorder="1" applyAlignment="1" applyProtection="1">
      <alignment horizontal="center" vertical="center"/>
    </xf>
    <xf numFmtId="0" fontId="2" fillId="0" borderId="8" xfId="0" applyFont="1" applyFill="1" applyBorder="1" applyAlignment="1" applyProtection="1">
      <alignment horizontal="center" vertical="center"/>
    </xf>
    <xf numFmtId="0" fontId="2" fillId="0" borderId="5" xfId="0" applyFont="1" applyFill="1" applyBorder="1" applyAlignment="1" applyProtection="1">
      <alignment horizontal="center" vertical="center" wrapText="1"/>
    </xf>
    <xf numFmtId="0" fontId="2" fillId="0" borderId="6" xfId="0" applyFont="1" applyFill="1" applyBorder="1" applyAlignment="1" applyProtection="1">
      <alignment horizontal="left" vertical="center" wrapText="1"/>
    </xf>
    <xf numFmtId="0" fontId="2" fillId="0" borderId="7" xfId="0" applyFont="1" applyFill="1" applyBorder="1" applyAlignment="1" applyProtection="1">
      <alignment horizontal="left" vertical="center" wrapText="1"/>
    </xf>
    <xf numFmtId="0" fontId="2" fillId="0" borderId="8" xfId="0" applyFont="1" applyFill="1" applyBorder="1" applyAlignment="1" applyProtection="1">
      <alignment horizontal="left" vertical="center" wrapText="1"/>
    </xf>
    <xf numFmtId="0" fontId="2" fillId="0" borderId="9" xfId="0" applyFont="1" applyFill="1" applyBorder="1" applyAlignment="1" applyProtection="1">
      <alignment horizontal="center" vertical="center" wrapText="1"/>
    </xf>
    <xf numFmtId="0" fontId="2" fillId="0" borderId="10"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0" fontId="2" fillId="0" borderId="12" xfId="0" applyFont="1" applyFill="1" applyBorder="1" applyAlignment="1" applyProtection="1">
      <alignment horizontal="center" vertical="center"/>
    </xf>
    <xf numFmtId="0" fontId="2" fillId="0" borderId="13" xfId="0" applyFont="1" applyFill="1" applyBorder="1" applyAlignment="1" applyProtection="1">
      <alignment horizontal="center" vertical="center"/>
    </xf>
    <xf numFmtId="0" fontId="2" fillId="0" borderId="0" xfId="0" applyFont="1" applyFill="1" applyAlignment="1">
      <alignment horizontal="center" vertical="center"/>
    </xf>
    <xf numFmtId="0" fontId="2" fillId="0" borderId="14" xfId="0" applyFont="1" applyFill="1" applyBorder="1" applyAlignment="1" applyProtection="1">
      <alignment horizontal="center" vertical="center"/>
    </xf>
    <xf numFmtId="0" fontId="2" fillId="0" borderId="15" xfId="0" applyFont="1" applyFill="1" applyBorder="1" applyAlignment="1" applyProtection="1">
      <alignment horizontal="center" vertical="center"/>
    </xf>
    <xf numFmtId="0" fontId="2" fillId="0" borderId="16" xfId="0" applyFont="1" applyFill="1" applyBorder="1" applyAlignment="1" applyProtection="1">
      <alignment horizontal="center" vertical="center"/>
    </xf>
    <xf numFmtId="0" fontId="2" fillId="0" borderId="17" xfId="0" applyFont="1" applyFill="1" applyBorder="1" applyAlignment="1" applyProtection="1">
      <alignment horizontal="center" vertical="center"/>
    </xf>
    <xf numFmtId="0" fontId="2" fillId="0" borderId="18" xfId="0" applyFont="1" applyFill="1" applyBorder="1" applyAlignment="1" applyProtection="1">
      <alignment horizontal="center" vertical="center"/>
    </xf>
    <xf numFmtId="0" fontId="2" fillId="0" borderId="19" xfId="0" applyFont="1" applyFill="1" applyBorder="1" applyAlignment="1" applyProtection="1">
      <alignment horizontal="center" vertical="center"/>
    </xf>
    <xf numFmtId="0" fontId="4" fillId="0" borderId="0" xfId="0" applyFont="1">
      <alignment vertical="center"/>
    </xf>
    <xf numFmtId="0" fontId="0" fillId="0" borderId="0" xfId="0">
      <alignment vertical="center"/>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1" fillId="2" borderId="0" xfId="0" applyFont="1" applyFill="1" applyAlignment="1">
      <alignment horizontal="center" vertical="center"/>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2" xfId="0" applyFont="1" applyFill="1" applyBorder="1" applyAlignment="1" applyProtection="1">
      <alignment horizontal="center" vertical="center" wrapText="1"/>
    </xf>
    <xf numFmtId="0" fontId="2" fillId="3" borderId="2" xfId="0" applyFont="1" applyFill="1" applyBorder="1" applyAlignment="1" applyProtection="1">
      <alignment horizontal="center" vertical="center"/>
    </xf>
    <xf numFmtId="0" fontId="1" fillId="0" borderId="2" xfId="0" applyFont="1" applyFill="1" applyBorder="1" applyAlignment="1">
      <alignment horizontal="left" vertical="center"/>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2" xfId="0" applyFont="1" applyFill="1" applyBorder="1" applyAlignment="1">
      <alignment horizontal="left" vertical="center" wrapText="1"/>
    </xf>
    <xf numFmtId="0" fontId="2" fillId="0" borderId="2" xfId="0" applyFont="1" applyFill="1" applyBorder="1" applyAlignment="1">
      <alignment horizontal="left" vertical="center"/>
    </xf>
    <xf numFmtId="0" fontId="5" fillId="4" borderId="2"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0" borderId="9" xfId="0" applyFont="1" applyBorder="1" applyAlignment="1">
      <alignment horizontal="center" vertical="center" wrapText="1"/>
    </xf>
    <xf numFmtId="0" fontId="2" fillId="0" borderId="2" xfId="0" applyFont="1" applyBorder="1" applyAlignment="1">
      <alignment horizontal="left" vertical="center" wrapText="1"/>
    </xf>
    <xf numFmtId="9" fontId="2" fillId="0" borderId="2"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9" fontId="4" fillId="0" borderId="0" xfId="0" applyNumberFormat="1" applyFont="1">
      <alignment vertical="center"/>
    </xf>
    <xf numFmtId="0" fontId="5" fillId="0" borderId="2" xfId="0" applyFont="1" applyFill="1" applyBorder="1" applyAlignment="1">
      <alignment horizontal="center" vertical="center" wrapText="1"/>
    </xf>
    <xf numFmtId="0" fontId="6" fillId="0" borderId="24" xfId="0" applyFont="1" applyFill="1" applyBorder="1" applyAlignment="1">
      <alignment horizontal="left" vertical="center" wrapText="1"/>
    </xf>
    <xf numFmtId="0" fontId="6" fillId="0" borderId="2" xfId="0" applyFont="1" applyFill="1" applyBorder="1" applyAlignment="1">
      <alignment horizontal="left" vertical="center" wrapText="1"/>
    </xf>
    <xf numFmtId="9" fontId="2" fillId="0" borderId="2" xfId="0" applyNumberFormat="1" applyFont="1" applyFill="1" applyBorder="1" applyAlignment="1">
      <alignment horizontal="center" vertical="center" wrapText="1"/>
    </xf>
    <xf numFmtId="0" fontId="5" fillId="0" borderId="7" xfId="0" applyFont="1" applyBorder="1" applyAlignment="1">
      <alignment horizontal="center" vertical="center" wrapText="1"/>
    </xf>
    <xf numFmtId="0" fontId="2" fillId="0" borderId="24" xfId="0" applyFont="1" applyBorder="1" applyAlignment="1">
      <alignment horizontal="left" vertical="center" wrapText="1"/>
    </xf>
    <xf numFmtId="0" fontId="5" fillId="0" borderId="22" xfId="0" applyFont="1" applyBorder="1" applyAlignment="1">
      <alignment horizontal="center" vertical="center" wrapText="1"/>
    </xf>
    <xf numFmtId="0" fontId="5" fillId="0" borderId="2" xfId="0" applyFont="1" applyFill="1" applyBorder="1" applyAlignment="1" applyProtection="1">
      <alignment horizontal="center" vertical="center" wrapText="1"/>
    </xf>
    <xf numFmtId="0" fontId="2" fillId="0" borderId="0" xfId="0" applyFont="1" applyFill="1" applyAlignment="1" applyProtection="1">
      <alignment horizontal="left" vertical="center" wrapText="1"/>
    </xf>
    <xf numFmtId="0" fontId="2" fillId="0" borderId="14" xfId="0" applyFont="1" applyFill="1" applyBorder="1" applyAlignment="1" applyProtection="1">
      <alignment horizontal="left" vertical="center" wrapText="1"/>
    </xf>
    <xf numFmtId="9" fontId="2" fillId="0" borderId="9" xfId="0" applyNumberFormat="1" applyFont="1" applyFill="1" applyBorder="1" applyAlignment="1">
      <alignment horizontal="center" vertical="center"/>
    </xf>
    <xf numFmtId="0" fontId="2" fillId="0" borderId="2" xfId="0" applyFont="1" applyFill="1" applyBorder="1" applyAlignment="1" applyProtection="1">
      <alignment horizontal="left" vertical="center" wrapText="1"/>
    </xf>
    <xf numFmtId="0" fontId="5" fillId="0" borderId="22" xfId="0" applyFont="1" applyFill="1" applyBorder="1" applyAlignment="1" applyProtection="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5" fillId="0" borderId="17" xfId="0" applyFont="1" applyFill="1" applyBorder="1" applyAlignment="1" applyProtection="1">
      <alignment horizontal="center" vertical="center" wrapText="1"/>
    </xf>
    <xf numFmtId="0" fontId="5" fillId="0" borderId="7" xfId="0" applyFont="1" applyFill="1" applyBorder="1" applyAlignment="1" applyProtection="1">
      <alignment horizontal="center" vertical="center" wrapText="1"/>
    </xf>
    <xf numFmtId="0" fontId="0" fillId="0" borderId="1" xfId="0" applyBorder="1" applyAlignment="1">
      <alignment horizontal="center" vertical="center"/>
    </xf>
    <xf numFmtId="0" fontId="7" fillId="0" borderId="2" xfId="0" applyFont="1" applyFill="1" applyBorder="1" applyAlignment="1" applyProtection="1">
      <alignment horizontal="center" vertical="center" wrapText="1"/>
    </xf>
    <xf numFmtId="0" fontId="8" fillId="0" borderId="0" xfId="0" applyFont="1">
      <alignment vertical="center"/>
    </xf>
    <xf numFmtId="0" fontId="1" fillId="0" borderId="2"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 xfId="0" applyFont="1" applyBorder="1">
      <alignment vertical="center"/>
    </xf>
    <xf numFmtId="0" fontId="1" fillId="0" borderId="3" xfId="0"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9" fillId="0" borderId="2" xfId="0" applyFont="1" applyBorder="1" applyAlignment="1">
      <alignment horizontal="left"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2" fillId="0" borderId="5"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horizontal="left" vertical="center" wrapText="1"/>
    </xf>
    <xf numFmtId="0" fontId="2" fillId="5" borderId="15" xfId="0" applyFont="1" applyFill="1" applyBorder="1" applyAlignment="1">
      <alignment horizontal="left" vertical="center" wrapText="1"/>
    </xf>
    <xf numFmtId="0" fontId="2" fillId="5" borderId="15" xfId="0" applyFont="1" applyFill="1" applyBorder="1" applyAlignment="1">
      <alignment horizontal="center" vertical="center" wrapText="1"/>
    </xf>
    <xf numFmtId="0" fontId="2" fillId="0" borderId="2" xfId="0" applyFont="1" applyBorder="1" applyAlignment="1">
      <alignment vertical="center" wrapText="1"/>
    </xf>
    <xf numFmtId="0" fontId="10"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left" vertical="center" wrapText="1"/>
    </xf>
    <xf numFmtId="0" fontId="10" fillId="0" borderId="0" xfId="0" applyFont="1" applyAlignment="1">
      <alignment horizontal="left" vertical="center" wrapText="1"/>
    </xf>
    <xf numFmtId="0" fontId="2" fillId="0" borderId="0" xfId="0" applyFont="1" applyAlignment="1">
      <alignment horizontal="center" vertical="center" wrapText="1"/>
    </xf>
    <xf numFmtId="0" fontId="2" fillId="3" borderId="0" xfId="0" applyFont="1" applyFill="1" applyAlignment="1">
      <alignment horizontal="center" vertical="center"/>
    </xf>
    <xf numFmtId="0" fontId="2" fillId="0" borderId="5" xfId="0" applyFont="1" applyFill="1" applyBorder="1" applyAlignment="1" applyProtection="1">
      <alignment horizontal="left" vertical="center"/>
    </xf>
    <xf numFmtId="0" fontId="2" fillId="0" borderId="6" xfId="0" applyFont="1" applyFill="1" applyBorder="1" applyAlignment="1" applyProtection="1">
      <alignment horizontal="left" vertical="center"/>
    </xf>
    <xf numFmtId="0" fontId="2" fillId="0" borderId="7" xfId="0" applyFont="1" applyFill="1" applyBorder="1" applyAlignment="1" applyProtection="1">
      <alignment horizontal="left" vertical="center"/>
    </xf>
    <xf numFmtId="0" fontId="2" fillId="0" borderId="5" xfId="0" applyFont="1" applyFill="1" applyBorder="1" applyAlignment="1" applyProtection="1">
      <alignment horizontal="left" vertical="center" wrapText="1"/>
    </xf>
    <xf numFmtId="0" fontId="2" fillId="0" borderId="7" xfId="0" applyFont="1" applyFill="1" applyBorder="1" applyAlignment="1" applyProtection="1">
      <alignment vertical="center"/>
    </xf>
    <xf numFmtId="0" fontId="2" fillId="0" borderId="0" xfId="0" applyFont="1" applyFill="1" applyAlignment="1">
      <alignment horizontal="left" vertical="center" wrapText="1"/>
    </xf>
    <xf numFmtId="0" fontId="2" fillId="3" borderId="5" xfId="0" applyFont="1" applyFill="1" applyBorder="1" applyAlignment="1" applyProtection="1">
      <alignment horizontal="center" vertical="center"/>
    </xf>
    <xf numFmtId="0" fontId="2" fillId="0" borderId="15" xfId="0" applyFont="1" applyFill="1" applyBorder="1" applyAlignment="1" applyProtection="1">
      <alignment horizontal="left" vertical="center"/>
    </xf>
    <xf numFmtId="0" fontId="2" fillId="0" borderId="13" xfId="0" applyFont="1" applyFill="1" applyBorder="1" applyAlignment="1" applyProtection="1">
      <alignment horizontal="left" vertical="center"/>
    </xf>
    <xf numFmtId="0" fontId="2" fillId="0" borderId="19" xfId="0" applyFont="1" applyFill="1" applyBorder="1" applyAlignment="1" applyProtection="1">
      <alignment horizontal="center" vertical="center" wrapText="1"/>
    </xf>
    <xf numFmtId="0" fontId="2" fillId="0" borderId="17" xfId="0" applyFont="1" applyFill="1" applyBorder="1" applyAlignment="1" applyProtection="1">
      <alignment horizontal="left" vertical="center"/>
    </xf>
    <xf numFmtId="0" fontId="2" fillId="0" borderId="19" xfId="0" applyFont="1" applyFill="1" applyBorder="1" applyAlignment="1" applyProtection="1">
      <alignment vertical="center"/>
    </xf>
    <xf numFmtId="0" fontId="2" fillId="0" borderId="12" xfId="0" applyFont="1" applyFill="1" applyBorder="1" applyAlignment="1" applyProtection="1">
      <alignment horizontal="left" vertical="center"/>
    </xf>
    <xf numFmtId="0" fontId="2" fillId="0" borderId="10" xfId="0" applyFont="1" applyFill="1" applyBorder="1" applyAlignment="1" applyProtection="1">
      <alignment horizontal="left" vertical="center" wrapText="1"/>
    </xf>
    <xf numFmtId="0" fontId="11" fillId="0" borderId="0" xfId="0" applyFont="1" applyFill="1" applyAlignment="1">
      <alignment vertical="center"/>
    </xf>
    <xf numFmtId="0" fontId="4" fillId="0" borderId="0" xfId="0" applyFont="1" applyFill="1" applyAlignment="1">
      <alignment vertical="center"/>
    </xf>
    <xf numFmtId="0" fontId="2" fillId="0" borderId="2" xfId="0" applyFont="1" applyFill="1" applyBorder="1" applyAlignment="1" applyProtection="1">
      <alignment horizontal="left" vertical="center"/>
    </xf>
    <xf numFmtId="0" fontId="2" fillId="3" borderId="2" xfId="0" applyFont="1" applyFill="1" applyBorder="1" applyAlignment="1" applyProtection="1">
      <alignment horizontal="left" vertical="center"/>
    </xf>
    <xf numFmtId="0" fontId="1" fillId="0" borderId="2" xfId="0" applyFont="1" applyFill="1" applyBorder="1" applyAlignment="1" applyProtection="1">
      <alignment horizontal="left" vertical="center" wrapText="1"/>
    </xf>
    <xf numFmtId="0" fontId="1" fillId="0" borderId="2" xfId="0" applyFont="1" applyFill="1" applyBorder="1" applyAlignment="1" applyProtection="1">
      <alignment horizontal="left" vertical="center"/>
    </xf>
    <xf numFmtId="0" fontId="12" fillId="0" borderId="2" xfId="0" applyFont="1" applyFill="1" applyBorder="1" applyAlignment="1" applyProtection="1">
      <alignment horizontal="left" vertical="center"/>
    </xf>
    <xf numFmtId="0" fontId="2" fillId="3" borderId="2" xfId="0" applyFont="1" applyFill="1" applyBorder="1" applyAlignment="1" applyProtection="1">
      <alignment horizontal="left" vertical="center" wrapText="1"/>
    </xf>
    <xf numFmtId="0" fontId="2" fillId="3" borderId="2" xfId="0" applyFont="1" applyFill="1" applyBorder="1" applyAlignment="1" applyProtection="1">
      <alignment vertical="center" wrapText="1"/>
    </xf>
    <xf numFmtId="0" fontId="2" fillId="0" borderId="19" xfId="0" applyFont="1" applyFill="1" applyBorder="1" applyAlignment="1" applyProtection="1">
      <alignment horizontal="left" vertical="center" wrapText="1"/>
    </xf>
    <xf numFmtId="0" fontId="2" fillId="3" borderId="19" xfId="0" applyFont="1" applyFill="1" applyBorder="1" applyAlignment="1" applyProtection="1">
      <alignment horizontal="left" vertical="center"/>
    </xf>
    <xf numFmtId="0" fontId="2" fillId="3" borderId="16" xfId="0" applyFont="1" applyFill="1" applyBorder="1" applyAlignment="1" applyProtection="1">
      <alignment horizontal="center" vertical="center"/>
    </xf>
    <xf numFmtId="0" fontId="2" fillId="3" borderId="17" xfId="0" applyFont="1" applyFill="1" applyBorder="1" applyAlignment="1" applyProtection="1">
      <alignment horizontal="center" vertical="center"/>
    </xf>
    <xf numFmtId="0" fontId="2" fillId="3" borderId="1" xfId="0" applyFont="1" applyFill="1" applyBorder="1" applyAlignment="1" applyProtection="1">
      <alignment vertical="center" wrapText="1"/>
    </xf>
    <xf numFmtId="0" fontId="2" fillId="0" borderId="3" xfId="0" applyFont="1" applyFill="1" applyBorder="1" applyAlignment="1" applyProtection="1">
      <alignment horizontal="left" vertical="center" wrapText="1"/>
    </xf>
    <xf numFmtId="0" fontId="2" fillId="0" borderId="4" xfId="0" applyFont="1" applyFill="1" applyBorder="1" applyAlignment="1" applyProtection="1">
      <alignment horizontal="left" vertical="center" wrapText="1"/>
    </xf>
    <xf numFmtId="0" fontId="2" fillId="0" borderId="12" xfId="0" applyFont="1" applyFill="1" applyBorder="1" applyAlignment="1" applyProtection="1">
      <alignment horizontal="left" vertical="center" wrapText="1"/>
    </xf>
    <xf numFmtId="0" fontId="2" fillId="0" borderId="10"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2" fillId="3" borderId="2" xfId="0" applyFont="1" applyFill="1" applyBorder="1" applyAlignment="1" applyProtection="1">
      <alignment vertical="center"/>
    </xf>
    <xf numFmtId="0" fontId="2" fillId="0" borderId="1" xfId="0" applyFont="1" applyFill="1" applyBorder="1" applyAlignment="1" applyProtection="1">
      <alignment horizontal="center" vertical="center" wrapText="1"/>
    </xf>
    <xf numFmtId="0" fontId="5" fillId="2" borderId="2" xfId="0" applyFont="1" applyFill="1" applyBorder="1" applyAlignment="1" applyProtection="1">
      <alignment horizontal="center" vertical="center"/>
    </xf>
    <xf numFmtId="0" fontId="9" fillId="0" borderId="0" xfId="0" applyFont="1" applyFill="1" applyAlignment="1">
      <alignment vertical="center" wrapText="1"/>
    </xf>
    <xf numFmtId="0" fontId="2" fillId="0" borderId="2" xfId="0" applyFont="1" applyFill="1" applyBorder="1" applyAlignment="1" applyProtection="1">
      <alignment vertical="center"/>
    </xf>
    <xf numFmtId="9" fontId="2" fillId="0" borderId="2" xfId="0" applyNumberFormat="1" applyFont="1" applyFill="1" applyBorder="1" applyAlignment="1" applyProtection="1">
      <alignment horizontal="center" vertical="center"/>
    </xf>
    <xf numFmtId="0" fontId="2" fillId="0" borderId="2" xfId="0" applyFont="1" applyFill="1" applyBorder="1" applyAlignment="1" applyProtection="1">
      <alignment vertical="center" wrapText="1"/>
    </xf>
    <xf numFmtId="0" fontId="2" fillId="0" borderId="0" xfId="0" applyFont="1" applyFill="1" applyBorder="1" applyAlignment="1" applyProtection="1">
      <alignment horizontal="left" vertical="center" wrapText="1"/>
    </xf>
    <xf numFmtId="0" fontId="2" fillId="0" borderId="2" xfId="0" applyFont="1" applyBorder="1" applyAlignment="1">
      <alignment horizontal="left" vertical="center"/>
    </xf>
    <xf numFmtId="0" fontId="5" fillId="6" borderId="22"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5" fillId="6" borderId="24" xfId="0" applyFont="1" applyFill="1" applyBorder="1" applyAlignment="1">
      <alignment horizontal="center" vertical="center" wrapText="1"/>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2" fillId="7"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0" fontId="2" fillId="7" borderId="2" xfId="0" applyFont="1" applyFill="1" applyBorder="1" applyAlignment="1">
      <alignment horizontal="center" vertical="center"/>
    </xf>
    <xf numFmtId="0" fontId="3" fillId="0" borderId="2" xfId="0" applyFont="1" applyBorder="1" applyAlignment="1">
      <alignment vertical="center" wrapText="1"/>
    </xf>
    <xf numFmtId="0" fontId="2" fillId="0" borderId="2"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8"/>
  <sheetViews>
    <sheetView workbookViewId="0">
      <selection activeCell="I53" sqref="I53"/>
    </sheetView>
  </sheetViews>
  <sheetFormatPr defaultColWidth="10.6388888888889" defaultRowHeight="14.5" customHeight="1"/>
  <cols>
    <col min="1" max="1" width="10.6388888888889" style="65"/>
    <col min="2" max="2" width="18.5555555555556" style="65" customWidth="1"/>
    <col min="3" max="3" width="14.1851851851852" style="65" customWidth="1"/>
    <col min="4" max="4" width="24.2592592592593" style="65" customWidth="1"/>
    <col min="5" max="5" width="23.3333333333333" style="65" customWidth="1"/>
    <col min="6" max="6" width="32.4537037037037" style="65" customWidth="1"/>
    <col min="7" max="37" width="10.6388888888889" style="65"/>
    <col min="38" max="16384" width="10.6388888888889" style="134"/>
  </cols>
  <sheetData>
    <row r="1" s="134" customFormat="1" ht="15" customHeight="1" spans="1:37">
      <c r="A1" s="20" t="s">
        <v>0</v>
      </c>
      <c r="B1" s="20"/>
      <c r="C1" s="20"/>
      <c r="D1" s="20"/>
      <c r="E1" s="20"/>
      <c r="F1" s="20"/>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row>
    <row r="2" s="134" customFormat="1" ht="20" customHeight="1" spans="1:37">
      <c r="A2" s="136" t="s">
        <v>1</v>
      </c>
      <c r="B2" s="137" t="s">
        <v>2</v>
      </c>
      <c r="C2" s="137" t="s">
        <v>3</v>
      </c>
      <c r="D2" s="137" t="s">
        <v>4</v>
      </c>
      <c r="E2" s="137" t="s">
        <v>5</v>
      </c>
      <c r="F2" s="59" t="s">
        <v>6</v>
      </c>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row>
    <row r="3" s="134" customFormat="1" ht="15" customHeight="1" spans="1:37">
      <c r="A3" s="136"/>
      <c r="B3" s="138" t="s">
        <v>7</v>
      </c>
      <c r="C3" s="136">
        <v>1000</v>
      </c>
      <c r="D3" s="88" t="s">
        <v>8</v>
      </c>
      <c r="E3" s="138" t="s">
        <v>9</v>
      </c>
      <c r="F3" s="88" t="s">
        <v>10</v>
      </c>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row>
    <row r="4" s="134" customFormat="1" ht="15" customHeight="1" spans="1:37">
      <c r="A4" s="136"/>
      <c r="B4" s="139"/>
      <c r="C4" s="136"/>
      <c r="D4" s="88"/>
      <c r="E4" s="139"/>
      <c r="F4" s="140"/>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row>
    <row r="5" s="134" customFormat="1" ht="71" customHeight="1" spans="1:37">
      <c r="A5" s="136"/>
      <c r="B5" s="139"/>
      <c r="C5" s="136"/>
      <c r="D5" s="88"/>
      <c r="E5" s="139"/>
      <c r="F5" s="140"/>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row>
    <row r="6" s="134" customFormat="1" ht="155" customHeight="1" spans="1:37">
      <c r="A6" s="136"/>
      <c r="B6" s="88" t="s">
        <v>11</v>
      </c>
      <c r="C6" s="88"/>
      <c r="D6" s="88"/>
      <c r="E6" s="88"/>
      <c r="F6" s="88"/>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row>
    <row r="7" s="134" customFormat="1" ht="20" customHeight="1" spans="1:37">
      <c r="A7" s="88" t="s">
        <v>12</v>
      </c>
      <c r="B7" s="141" t="s">
        <v>13</v>
      </c>
      <c r="C7" s="141" t="s">
        <v>14</v>
      </c>
      <c r="D7" s="141" t="s">
        <v>15</v>
      </c>
      <c r="E7" s="142" t="s">
        <v>16</v>
      </c>
      <c r="F7" s="141" t="s">
        <v>17</v>
      </c>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134" customFormat="1" ht="23" customHeight="1" spans="1:37">
      <c r="A8" s="88"/>
      <c r="B8" s="88" t="s">
        <v>18</v>
      </c>
      <c r="C8" s="136" t="s">
        <v>19</v>
      </c>
      <c r="D8" s="136" t="s">
        <v>20</v>
      </c>
      <c r="E8" s="88" t="s">
        <v>21</v>
      </c>
      <c r="F8" s="88" t="s">
        <v>22</v>
      </c>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row>
    <row r="9" s="134" customFormat="1" ht="23" customHeight="1" spans="1:37">
      <c r="A9" s="88"/>
      <c r="B9" s="88" t="s">
        <v>23</v>
      </c>
      <c r="C9" s="136" t="s">
        <v>24</v>
      </c>
      <c r="D9" s="88" t="s">
        <v>25</v>
      </c>
      <c r="E9" s="88"/>
      <c r="F9" s="88"/>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row>
    <row r="10" s="134" customFormat="1" ht="23" customHeight="1" spans="1:37">
      <c r="A10" s="88"/>
      <c r="B10" s="88" t="s">
        <v>26</v>
      </c>
      <c r="C10" s="136" t="s">
        <v>27</v>
      </c>
      <c r="D10" s="88" t="s">
        <v>28</v>
      </c>
      <c r="E10" s="88"/>
      <c r="F10" s="88"/>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row>
    <row r="11" s="134" customFormat="1" ht="23" customHeight="1" spans="1:37">
      <c r="A11" s="88"/>
      <c r="B11" s="88" t="s">
        <v>29</v>
      </c>
      <c r="C11" s="136" t="s">
        <v>30</v>
      </c>
      <c r="D11" s="88" t="s">
        <v>31</v>
      </c>
      <c r="E11" s="88"/>
      <c r="F11" s="88"/>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row>
    <row r="12" s="134" customFormat="1" ht="21" customHeight="1" spans="1:37">
      <c r="A12" s="143" t="s">
        <v>32</v>
      </c>
      <c r="B12" s="144" t="s">
        <v>33</v>
      </c>
      <c r="C12" s="144" t="s">
        <v>34</v>
      </c>
      <c r="D12" s="145" t="s">
        <v>35</v>
      </c>
      <c r="E12" s="146"/>
      <c r="F12" s="147" t="s">
        <v>36</v>
      </c>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row>
    <row r="13" s="134" customFormat="1" ht="21" customHeight="1" spans="1:37">
      <c r="A13" s="123"/>
      <c r="B13" s="123" t="s">
        <v>37</v>
      </c>
      <c r="C13" s="120">
        <v>500</v>
      </c>
      <c r="D13" s="29" t="s">
        <v>38</v>
      </c>
      <c r="E13" s="30"/>
      <c r="F13" s="148" t="s">
        <v>39</v>
      </c>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row>
    <row r="14" s="134" customFormat="1" ht="21" customHeight="1" spans="1:37">
      <c r="A14" s="123"/>
      <c r="B14" s="120" t="s">
        <v>40</v>
      </c>
      <c r="C14" s="120">
        <v>1000</v>
      </c>
      <c r="D14" s="29" t="s">
        <v>38</v>
      </c>
      <c r="E14" s="30"/>
      <c r="F14" s="149"/>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row>
    <row r="15" s="134" customFormat="1" ht="21" customHeight="1" spans="1:37">
      <c r="A15" s="123"/>
      <c r="B15" s="120" t="s">
        <v>41</v>
      </c>
      <c r="C15" s="120">
        <v>2000</v>
      </c>
      <c r="D15" s="29" t="s">
        <v>38</v>
      </c>
      <c r="E15" s="30"/>
      <c r="F15" s="149"/>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row>
    <row r="16" s="134" customFormat="1" ht="21" customHeight="1" spans="1:37">
      <c r="A16" s="123"/>
      <c r="B16" s="120" t="s">
        <v>42</v>
      </c>
      <c r="C16" s="120">
        <v>3000</v>
      </c>
      <c r="D16" s="29" t="s">
        <v>38</v>
      </c>
      <c r="E16" s="30"/>
      <c r="F16" s="149"/>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row>
    <row r="17" s="134" customFormat="1" ht="29" customHeight="1" spans="1:37">
      <c r="A17" s="150"/>
      <c r="B17" s="150" t="s">
        <v>43</v>
      </c>
      <c r="C17" s="132">
        <v>500</v>
      </c>
      <c r="D17" s="36" t="s">
        <v>44</v>
      </c>
      <c r="E17" s="151"/>
      <c r="F17" s="152"/>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row>
    <row r="18" s="134" customFormat="1" ht="25" customHeight="1" spans="1:37">
      <c r="A18" s="58" t="s">
        <v>45</v>
      </c>
      <c r="B18" s="141" t="s">
        <v>46</v>
      </c>
      <c r="C18" s="137" t="s">
        <v>47</v>
      </c>
      <c r="D18" s="153" t="s">
        <v>48</v>
      </c>
      <c r="E18" s="141" t="s">
        <v>49</v>
      </c>
      <c r="F18" s="137" t="s">
        <v>50</v>
      </c>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row>
    <row r="19" s="134" customFormat="1" ht="23" customHeight="1" spans="1:37">
      <c r="A19" s="58"/>
      <c r="B19" s="88" t="s">
        <v>51</v>
      </c>
      <c r="C19" s="24" t="s">
        <v>52</v>
      </c>
      <c r="D19" s="148" t="s">
        <v>53</v>
      </c>
      <c r="E19" s="88" t="s">
        <v>54</v>
      </c>
      <c r="F19" s="136" t="s">
        <v>55</v>
      </c>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row>
    <row r="20" s="134" customFormat="1" ht="23" customHeight="1" spans="1:37">
      <c r="A20" s="58"/>
      <c r="B20" s="88"/>
      <c r="C20" s="154"/>
      <c r="D20" s="149"/>
      <c r="E20" s="88"/>
      <c r="F20" s="136" t="s">
        <v>56</v>
      </c>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row>
    <row r="21" s="134" customFormat="1" ht="25" customHeight="1" spans="1:37">
      <c r="A21" s="58"/>
      <c r="B21" s="88"/>
      <c r="C21" s="88" t="s">
        <v>57</v>
      </c>
      <c r="D21" s="149"/>
      <c r="E21" s="88"/>
      <c r="F21" s="136" t="s">
        <v>58</v>
      </c>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row>
    <row r="22" s="134" customFormat="1" ht="25" customHeight="1" spans="1:37">
      <c r="A22" s="58"/>
      <c r="B22" s="88"/>
      <c r="C22" s="88"/>
      <c r="D22" s="152"/>
      <c r="E22" s="88"/>
      <c r="F22" s="136" t="s">
        <v>59</v>
      </c>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135" customFormat="1" customHeight="1" spans="1:37">
      <c r="A23" s="58"/>
      <c r="B23" s="155" t="s">
        <v>60</v>
      </c>
      <c r="C23" s="155"/>
      <c r="D23" s="155"/>
      <c r="E23" s="155"/>
      <c r="F23" s="155"/>
      <c r="G23" s="156"/>
      <c r="H23" s="156"/>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row>
    <row r="24" s="135" customFormat="1" customHeight="1" spans="1:37">
      <c r="A24" s="58"/>
      <c r="B24" s="58" t="s">
        <v>61</v>
      </c>
      <c r="C24" s="21" t="s">
        <v>62</v>
      </c>
      <c r="D24" s="58" t="s">
        <v>63</v>
      </c>
      <c r="E24" s="21" t="s">
        <v>45</v>
      </c>
      <c r="F24" s="157" t="s">
        <v>64</v>
      </c>
      <c r="G24" s="156"/>
      <c r="H24" s="156"/>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row>
    <row r="25" s="135" customFormat="1" customHeight="1" spans="1:37">
      <c r="A25" s="58"/>
      <c r="B25" s="58"/>
      <c r="C25" s="21" t="s">
        <v>65</v>
      </c>
      <c r="D25" s="21" t="s">
        <v>66</v>
      </c>
      <c r="E25" s="21" t="s">
        <v>67</v>
      </c>
      <c r="F25" s="157"/>
      <c r="G25" s="156"/>
      <c r="H25" s="156"/>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row>
    <row r="26" s="135" customFormat="1" customHeight="1" spans="1:37">
      <c r="A26" s="58"/>
      <c r="B26" s="58"/>
      <c r="C26" s="21"/>
      <c r="D26" s="158">
        <v>1</v>
      </c>
      <c r="E26" s="58" t="s">
        <v>68</v>
      </c>
      <c r="F26" s="157" t="s">
        <v>69</v>
      </c>
      <c r="G26" s="156"/>
      <c r="H26" s="156"/>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row>
    <row r="27" s="135" customFormat="1" customHeight="1" spans="1:37">
      <c r="A27" s="58"/>
      <c r="B27" s="58"/>
      <c r="C27" s="21" t="s">
        <v>70</v>
      </c>
      <c r="D27" s="21" t="s">
        <v>66</v>
      </c>
      <c r="E27" s="21" t="s">
        <v>71</v>
      </c>
      <c r="F27" s="157"/>
      <c r="G27" s="156"/>
      <c r="H27" s="156"/>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row>
    <row r="28" s="135" customFormat="1" customHeight="1" spans="1:37">
      <c r="A28" s="58"/>
      <c r="B28" s="58"/>
      <c r="C28" s="21"/>
      <c r="D28" s="158">
        <v>1</v>
      </c>
      <c r="E28" s="58" t="s">
        <v>72</v>
      </c>
      <c r="F28" s="157" t="s">
        <v>69</v>
      </c>
      <c r="G28" s="156"/>
      <c r="H28" s="156"/>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row>
    <row r="29" s="135" customFormat="1" customHeight="1" spans="1:37">
      <c r="A29" s="58"/>
      <c r="B29" s="58"/>
      <c r="C29" s="21" t="s">
        <v>73</v>
      </c>
      <c r="D29" s="158" t="s">
        <v>74</v>
      </c>
      <c r="E29" s="58" t="s">
        <v>75</v>
      </c>
      <c r="F29" s="157"/>
      <c r="G29" s="156"/>
      <c r="H29" s="156"/>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row>
    <row r="30" s="135" customFormat="1" ht="20" customHeight="1" spans="1:37">
      <c r="A30" s="58"/>
      <c r="B30" s="58"/>
      <c r="C30" s="21" t="s">
        <v>76</v>
      </c>
      <c r="D30" s="21"/>
      <c r="E30" s="21"/>
      <c r="F30" s="21"/>
      <c r="G30" s="156"/>
      <c r="H30" s="156"/>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row>
    <row r="31" s="135" customFormat="1" ht="60" customHeight="1" spans="1:37">
      <c r="A31" s="58"/>
      <c r="B31" s="21" t="s">
        <v>77</v>
      </c>
      <c r="C31" s="159" t="s">
        <v>78</v>
      </c>
      <c r="D31" s="159"/>
      <c r="E31" s="159"/>
      <c r="F31" s="159"/>
      <c r="G31" s="156"/>
      <c r="H31" s="156"/>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row>
    <row r="32" s="135" customFormat="1" ht="67" customHeight="1" spans="1:37">
      <c r="A32" s="58"/>
      <c r="B32" s="159" t="s">
        <v>79</v>
      </c>
      <c r="C32" s="159"/>
      <c r="D32" s="159"/>
      <c r="E32" s="159"/>
      <c r="F32" s="159"/>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row>
    <row r="33" s="134" customFormat="1" ht="17" customHeight="1" spans="1:39">
      <c r="A33" s="85" t="s">
        <v>80</v>
      </c>
      <c r="B33" s="160" t="s">
        <v>81</v>
      </c>
      <c r="C33" s="160"/>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row>
    <row r="34" s="134" customFormat="1" customHeight="1" spans="1:39">
      <c r="A34" s="5" t="s">
        <v>82</v>
      </c>
      <c r="B34" s="5"/>
      <c r="C34" s="5"/>
      <c r="D34" s="5"/>
      <c r="E34" s="5"/>
      <c r="F34" s="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row>
    <row r="35" s="134" customFormat="1" ht="75" hidden="1" customHeight="1" spans="1:39">
      <c r="A35" s="72" t="s">
        <v>83</v>
      </c>
      <c r="B35" s="72"/>
      <c r="C35" s="72" t="s">
        <v>84</v>
      </c>
      <c r="D35" s="72"/>
      <c r="E35" s="72"/>
      <c r="F35" s="72"/>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row>
    <row r="36" s="134" customFormat="1" ht="109" hidden="1" customHeight="1" spans="1:39">
      <c r="A36" s="161" t="s">
        <v>85</v>
      </c>
      <c r="B36" s="161"/>
      <c r="C36" s="72" t="s">
        <v>86</v>
      </c>
      <c r="D36" s="72"/>
      <c r="E36" s="72"/>
      <c r="F36" s="72"/>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row>
    <row r="37" s="134" customFormat="1" ht="19" customHeight="1" spans="1:39">
      <c r="A37" s="162" t="s">
        <v>87</v>
      </c>
      <c r="B37" s="163"/>
      <c r="C37" s="163"/>
      <c r="D37" s="163"/>
      <c r="E37" s="163"/>
      <c r="F37" s="164"/>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row>
    <row r="38" s="134" customFormat="1" ht="21" customHeight="1" spans="1:39">
      <c r="A38" s="65" t="s">
        <v>88</v>
      </c>
      <c r="B38" s="65" t="s">
        <v>89</v>
      </c>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row>
    <row r="39" s="1" customFormat="1" ht="18" customHeight="1" spans="1:39">
      <c r="A39" s="165" t="s">
        <v>90</v>
      </c>
      <c r="B39" s="165"/>
      <c r="C39" s="165"/>
      <c r="D39" s="165"/>
      <c r="E39" s="165"/>
      <c r="F39" s="1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7"/>
      <c r="AM39" s="7"/>
    </row>
    <row r="40" s="1" customFormat="1" ht="35" customHeight="1" spans="1:39">
      <c r="A40" s="165" t="s">
        <v>91</v>
      </c>
      <c r="B40" s="166" t="s">
        <v>92</v>
      </c>
      <c r="C40" s="166"/>
      <c r="D40" s="165" t="s">
        <v>93</v>
      </c>
      <c r="E40" s="165"/>
      <c r="F40" s="165" t="s">
        <v>94</v>
      </c>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7"/>
      <c r="AM40" s="7"/>
    </row>
    <row r="41" s="1" customFormat="1" ht="18" customHeight="1" spans="1:39">
      <c r="A41" s="167" t="s">
        <v>95</v>
      </c>
      <c r="B41" s="168" t="s">
        <v>96</v>
      </c>
      <c r="C41" s="168"/>
      <c r="D41" s="167" t="s">
        <v>97</v>
      </c>
      <c r="E41" s="167"/>
      <c r="F41" s="167">
        <v>10</v>
      </c>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7"/>
      <c r="AM41" s="7"/>
    </row>
    <row r="42" s="1" customFormat="1" ht="18" customHeight="1" spans="1:39">
      <c r="A42" s="167" t="s">
        <v>95</v>
      </c>
      <c r="B42" s="168" t="s">
        <v>96</v>
      </c>
      <c r="C42" s="168"/>
      <c r="D42" s="167" t="s">
        <v>98</v>
      </c>
      <c r="E42" s="167"/>
      <c r="F42" s="167">
        <v>5</v>
      </c>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7"/>
      <c r="AM42" s="7"/>
    </row>
    <row r="43" s="1" customFormat="1" ht="18" customHeight="1" spans="1:39">
      <c r="A43" s="167" t="s">
        <v>99</v>
      </c>
      <c r="B43" s="167" t="s">
        <v>100</v>
      </c>
      <c r="C43" s="167"/>
      <c r="D43" s="167"/>
      <c r="E43" s="167"/>
      <c r="F43" s="167"/>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7"/>
      <c r="AM43" s="7"/>
    </row>
    <row r="44" s="1" customFormat="1" ht="29" customHeight="1" spans="1:39">
      <c r="A44" s="169" t="s">
        <v>101</v>
      </c>
      <c r="B44" s="170" t="s">
        <v>102</v>
      </c>
      <c r="C44" s="171" t="s">
        <v>103</v>
      </c>
      <c r="D44" s="171"/>
      <c r="E44" s="171" t="s">
        <v>93</v>
      </c>
      <c r="F44" s="171" t="s">
        <v>104</v>
      </c>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7"/>
      <c r="AM44" s="7"/>
    </row>
    <row r="45" s="1" customFormat="1" ht="63" customHeight="1" spans="1:39">
      <c r="A45" s="72" t="s">
        <v>105</v>
      </c>
      <c r="B45" s="72" t="s">
        <v>106</v>
      </c>
      <c r="C45" s="115" t="s">
        <v>107</v>
      </c>
      <c r="D45" s="115"/>
      <c r="E45" s="172" t="s">
        <v>108</v>
      </c>
      <c r="F45" s="173" t="s">
        <v>109</v>
      </c>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7"/>
      <c r="AM45" s="7"/>
    </row>
    <row r="46" s="134" customFormat="1" ht="41" customHeight="1" spans="1:39">
      <c r="A46" s="167" t="s">
        <v>110</v>
      </c>
      <c r="B46" s="167"/>
      <c r="C46" s="167"/>
      <c r="D46" s="167"/>
      <c r="E46" s="167"/>
      <c r="F46" s="167"/>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row>
    <row r="47" s="134" customFormat="1" customHeight="1" spans="1:39">
      <c r="A47" s="65"/>
      <c r="B47" s="65"/>
      <c r="C47" s="7"/>
      <c r="D47" s="7"/>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row>
    <row r="48" s="134" customFormat="1" customHeight="1" spans="1:39">
      <c r="A48" s="65"/>
      <c r="B48" s="65"/>
      <c r="C48" s="7"/>
      <c r="D48" s="7"/>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row>
  </sheetData>
  <mergeCells count="51">
    <mergeCell ref="A1:F1"/>
    <mergeCell ref="B6:F6"/>
    <mergeCell ref="D12:E12"/>
    <mergeCell ref="D13:E13"/>
    <mergeCell ref="D14:E14"/>
    <mergeCell ref="D15:E15"/>
    <mergeCell ref="D16:E16"/>
    <mergeCell ref="D17:E17"/>
    <mergeCell ref="B23:F23"/>
    <mergeCell ref="C30:F30"/>
    <mergeCell ref="C31:F31"/>
    <mergeCell ref="B32:F32"/>
    <mergeCell ref="B33:C33"/>
    <mergeCell ref="A34:F34"/>
    <mergeCell ref="A35:B35"/>
    <mergeCell ref="C35:F35"/>
    <mergeCell ref="A36:B36"/>
    <mergeCell ref="C36:F36"/>
    <mergeCell ref="A37:F37"/>
    <mergeCell ref="B38:C38"/>
    <mergeCell ref="A39:F39"/>
    <mergeCell ref="B40:C40"/>
    <mergeCell ref="D40:E40"/>
    <mergeCell ref="B41:C41"/>
    <mergeCell ref="D41:E41"/>
    <mergeCell ref="B42:C42"/>
    <mergeCell ref="D42:E42"/>
    <mergeCell ref="B43:F43"/>
    <mergeCell ref="C44:D44"/>
    <mergeCell ref="C45:D45"/>
    <mergeCell ref="A46:F46"/>
    <mergeCell ref="A2:A6"/>
    <mergeCell ref="A7:A11"/>
    <mergeCell ref="A12:A17"/>
    <mergeCell ref="A18:A32"/>
    <mergeCell ref="B3:B5"/>
    <mergeCell ref="B19:B22"/>
    <mergeCell ref="B24:B30"/>
    <mergeCell ref="C3:C5"/>
    <mergeCell ref="C19:C20"/>
    <mergeCell ref="C21:C22"/>
    <mergeCell ref="C25:C26"/>
    <mergeCell ref="C27:C28"/>
    <mergeCell ref="D3:D5"/>
    <mergeCell ref="D19:D22"/>
    <mergeCell ref="E3:E5"/>
    <mergeCell ref="E8:E11"/>
    <mergeCell ref="E19:E22"/>
    <mergeCell ref="F3:F5"/>
    <mergeCell ref="F8:F11"/>
    <mergeCell ref="F13:F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1"/>
  <sheetViews>
    <sheetView zoomScale="80" zoomScaleNormal="80" workbookViewId="0">
      <selection activeCell="F9" sqref="F9"/>
    </sheetView>
  </sheetViews>
  <sheetFormatPr defaultColWidth="8.73148148148148" defaultRowHeight="15"/>
  <cols>
    <col min="1" max="1" width="12.1111111111111" style="2" customWidth="1"/>
    <col min="2" max="2" width="37.2685185185185" style="2" customWidth="1"/>
    <col min="3" max="3" width="26" style="2" customWidth="1"/>
    <col min="4" max="4" width="104.777777777778" style="2" customWidth="1"/>
    <col min="5" max="5" width="19.9166666666667" style="2" customWidth="1"/>
    <col min="6" max="6" width="20.5462962962963" style="2" customWidth="1"/>
    <col min="7" max="16384" width="8.73148148148148" style="2"/>
  </cols>
  <sheetData>
    <row r="1" s="2" customFormat="1" spans="1:6">
      <c r="A1" s="2" t="s">
        <v>111</v>
      </c>
    </row>
    <row r="2" s="2" customFormat="1" ht="20" customHeight="1" spans="1:6">
      <c r="A2" s="102" t="s">
        <v>62</v>
      </c>
      <c r="B2" s="97" t="s">
        <v>112</v>
      </c>
      <c r="C2" s="97"/>
      <c r="D2" s="102" t="s">
        <v>113</v>
      </c>
      <c r="E2" s="102" t="s">
        <v>114</v>
      </c>
    </row>
    <row r="3" s="2" customFormat="1" ht="27" customHeight="1" spans="1:6">
      <c r="A3" s="103"/>
      <c r="B3" s="104" t="s">
        <v>115</v>
      </c>
      <c r="C3" s="101" t="s">
        <v>116</v>
      </c>
      <c r="D3" s="103"/>
      <c r="E3" s="103"/>
    </row>
    <row r="4" s="2" customFormat="1" ht="37" customHeight="1" spans="1:6">
      <c r="A4" s="104" t="s">
        <v>117</v>
      </c>
      <c r="B4" s="105">
        <v>300</v>
      </c>
      <c r="C4" s="106" t="s">
        <v>118</v>
      </c>
      <c r="D4" s="106" t="s">
        <v>119</v>
      </c>
      <c r="E4" s="106" t="s">
        <v>120</v>
      </c>
    </row>
    <row r="5" s="2" customFormat="1" ht="37" customHeight="1" spans="1:6">
      <c r="A5" s="104" t="s">
        <v>121</v>
      </c>
      <c r="B5" s="105">
        <v>500</v>
      </c>
      <c r="C5" s="103"/>
      <c r="D5" s="107"/>
      <c r="E5" s="103"/>
    </row>
    <row r="6" s="2" customFormat="1" spans="1:6">
      <c r="A6" s="2" t="s">
        <v>122</v>
      </c>
    </row>
    <row r="7" s="49" customFormat="1" ht="14.5" customHeight="1" spans="1:6">
      <c r="A7" s="108" t="s">
        <v>123</v>
      </c>
      <c r="B7" s="108"/>
      <c r="C7" s="108"/>
      <c r="D7" s="108"/>
      <c r="E7" s="108"/>
    </row>
    <row r="8" s="49" customFormat="1" ht="83" customHeight="1" spans="1:6">
      <c r="A8" s="109" t="s">
        <v>124</v>
      </c>
      <c r="B8" s="110" t="s">
        <v>125</v>
      </c>
      <c r="C8" s="110" t="s">
        <v>126</v>
      </c>
      <c r="D8" s="111" t="s">
        <v>127</v>
      </c>
      <c r="E8" s="112" t="s">
        <v>128</v>
      </c>
    </row>
    <row r="9" s="49" customFormat="1" ht="213" customHeight="1" spans="1:6">
      <c r="A9" s="113" t="s">
        <v>129</v>
      </c>
      <c r="B9" s="72" t="s">
        <v>130</v>
      </c>
      <c r="C9" s="72" t="s">
        <v>131</v>
      </c>
      <c r="D9" s="114" t="s">
        <v>132</v>
      </c>
      <c r="E9" s="115"/>
    </row>
    <row r="10" s="49" customFormat="1" ht="409" customHeight="1" spans="1:6">
      <c r="A10" s="113" t="s">
        <v>133</v>
      </c>
      <c r="B10" s="72" t="s">
        <v>134</v>
      </c>
      <c r="C10" s="72" t="s">
        <v>135</v>
      </c>
      <c r="D10" s="114" t="s">
        <v>136</v>
      </c>
      <c r="E10" s="115"/>
    </row>
    <row r="11" s="49" customFormat="1" ht="23" customHeight="1" spans="1:6">
      <c r="A11" s="116" t="s">
        <v>137</v>
      </c>
      <c r="B11" s="116"/>
      <c r="C11" s="116"/>
      <c r="D11" s="117"/>
      <c r="E11" s="118"/>
    </row>
    <row r="12" s="7" customFormat="1" ht="13.5" customHeight="1" spans="1:6">
      <c r="A12" s="119" t="s">
        <v>138</v>
      </c>
      <c r="B12" s="119"/>
      <c r="C12" s="119"/>
      <c r="D12" s="119"/>
      <c r="E12" s="119"/>
      <c r="F12" s="119"/>
    </row>
    <row r="13" s="7" customFormat="1" ht="13.5" customHeight="1" spans="1:6">
      <c r="A13" s="120" t="s">
        <v>139</v>
      </c>
      <c r="B13" s="121" t="s">
        <v>140</v>
      </c>
      <c r="C13" s="32" t="s">
        <v>141</v>
      </c>
      <c r="D13" s="32"/>
      <c r="E13" s="122" t="s">
        <v>142</v>
      </c>
      <c r="F13" s="28" t="s">
        <v>143</v>
      </c>
    </row>
    <row r="14" s="7" customFormat="1" ht="42" customHeight="1" spans="1:6">
      <c r="A14" s="27" t="s">
        <v>144</v>
      </c>
      <c r="B14" s="33" t="s">
        <v>145</v>
      </c>
      <c r="C14" s="123" t="s">
        <v>146</v>
      </c>
      <c r="D14" s="123"/>
      <c r="E14" s="124">
        <v>5</v>
      </c>
      <c r="F14" s="27"/>
    </row>
    <row r="15" s="7" customFormat="1" ht="42" customHeight="1" spans="1:6">
      <c r="A15" s="27"/>
      <c r="B15" s="33"/>
      <c r="C15" s="123" t="s">
        <v>147</v>
      </c>
      <c r="D15" s="123"/>
      <c r="E15" s="124">
        <v>4</v>
      </c>
      <c r="F15" s="27"/>
    </row>
    <row r="16" s="7" customFormat="1" ht="42" customHeight="1" spans="1:6">
      <c r="A16" s="27"/>
      <c r="B16" s="33"/>
      <c r="C16" s="123" t="s">
        <v>148</v>
      </c>
      <c r="D16" s="123"/>
      <c r="E16" s="124">
        <v>3</v>
      </c>
      <c r="F16" s="27"/>
    </row>
    <row r="17" s="7" customFormat="1" ht="42" customHeight="1" spans="1:39">
      <c r="A17" s="27"/>
      <c r="B17" s="33"/>
      <c r="C17" s="123" t="s">
        <v>149</v>
      </c>
      <c r="D17" s="123"/>
      <c r="E17" s="124">
        <v>2</v>
      </c>
      <c r="F17" s="27"/>
    </row>
    <row r="18" s="7" customFormat="1" ht="42" customHeight="1" spans="1:39">
      <c r="A18" s="120"/>
      <c r="B18" s="33"/>
      <c r="C18" s="123" t="s">
        <v>150</v>
      </c>
      <c r="D18" s="123"/>
      <c r="E18" s="124">
        <v>0</v>
      </c>
      <c r="F18" s="27"/>
    </row>
    <row r="19" s="7" customFormat="1" ht="35" customHeight="1" spans="1:39">
      <c r="A19" s="65"/>
      <c r="B19" s="125"/>
      <c r="C19" s="125"/>
      <c r="D19" s="125"/>
      <c r="F19" s="41"/>
    </row>
    <row r="20" s="7" customFormat="1" ht="21" customHeight="1" spans="1:39">
      <c r="A20" s="126" t="s">
        <v>151</v>
      </c>
      <c r="B20" s="126"/>
      <c r="C20" s="126"/>
      <c r="D20" s="126"/>
      <c r="E20" s="126"/>
      <c r="F20" s="126"/>
      <c r="G20" s="126"/>
    </row>
    <row r="21" s="7" customFormat="1" ht="16.5" customHeight="1" spans="1:39">
      <c r="A21" s="127" t="s">
        <v>139</v>
      </c>
      <c r="B21" s="127" t="s">
        <v>140</v>
      </c>
      <c r="C21" s="128" t="s">
        <v>152</v>
      </c>
      <c r="D21" s="129" t="s">
        <v>141</v>
      </c>
      <c r="E21" s="129"/>
      <c r="F21" s="130" t="s">
        <v>142</v>
      </c>
      <c r="G21" s="131" t="s">
        <v>143</v>
      </c>
    </row>
    <row r="22" s="7" customFormat="1" ht="37.05" customHeight="1" spans="1:39">
      <c r="A22" s="120" t="s">
        <v>153</v>
      </c>
      <c r="B22" s="34" t="s">
        <v>154</v>
      </c>
      <c r="C22" s="32"/>
      <c r="D22" s="35" t="s">
        <v>155</v>
      </c>
      <c r="E22" s="123"/>
      <c r="F22" s="122">
        <v>5</v>
      </c>
      <c r="G22" s="27"/>
    </row>
    <row r="23" s="7" customFormat="1" ht="35.45" customHeight="1" spans="1:39">
      <c r="A23" s="120"/>
      <c r="B23" s="34"/>
      <c r="C23" s="32"/>
      <c r="D23" s="35" t="s">
        <v>156</v>
      </c>
      <c r="E23" s="123"/>
      <c r="F23" s="122">
        <v>4</v>
      </c>
      <c r="G23" s="27"/>
    </row>
    <row r="24" s="7" customFormat="1" ht="40.9" customHeight="1" spans="1:39">
      <c r="A24" s="120"/>
      <c r="B24" s="34"/>
      <c r="C24" s="32"/>
      <c r="D24" s="35" t="s">
        <v>157</v>
      </c>
      <c r="E24" s="123"/>
      <c r="F24" s="122">
        <v>3</v>
      </c>
      <c r="G24" s="27"/>
    </row>
    <row r="25" s="7" customFormat="1" ht="28.35" customHeight="1" spans="1:39">
      <c r="A25" s="120"/>
      <c r="B25" s="34"/>
      <c r="C25" s="32"/>
      <c r="D25" s="35" t="s">
        <v>158</v>
      </c>
      <c r="E25" s="123"/>
      <c r="F25" s="122">
        <v>2</v>
      </c>
      <c r="G25" s="27"/>
    </row>
    <row r="26" s="7" customFormat="1" ht="27" customHeight="1" spans="1:39">
      <c r="A26" s="120"/>
      <c r="B26" s="34"/>
      <c r="C26" s="32"/>
      <c r="D26" s="35" t="s">
        <v>159</v>
      </c>
      <c r="E26" s="123"/>
      <c r="F26" s="122">
        <v>0</v>
      </c>
      <c r="G26" s="27"/>
    </row>
    <row r="27" s="7" customFormat="1" ht="41.7" customHeight="1" spans="1:39">
      <c r="A27" s="120" t="s">
        <v>160</v>
      </c>
      <c r="B27" s="125" t="s">
        <v>161</v>
      </c>
      <c r="C27" s="32"/>
      <c r="D27" s="35" t="s">
        <v>162</v>
      </c>
      <c r="E27" s="123"/>
      <c r="F27" s="122">
        <v>5</v>
      </c>
      <c r="G27" s="27"/>
    </row>
    <row r="28" s="7" customFormat="1" ht="38.6" customHeight="1" spans="1:39">
      <c r="A28" s="120"/>
      <c r="B28" s="125"/>
      <c r="C28" s="32"/>
      <c r="D28" s="35" t="s">
        <v>163</v>
      </c>
      <c r="E28" s="123"/>
      <c r="F28" s="122">
        <v>4</v>
      </c>
      <c r="G28" s="27"/>
    </row>
    <row r="29" s="7" customFormat="1" ht="27.55" customHeight="1" spans="1:39">
      <c r="A29" s="120"/>
      <c r="B29" s="125"/>
      <c r="C29" s="32"/>
      <c r="D29" s="35" t="s">
        <v>164</v>
      </c>
      <c r="E29" s="123"/>
      <c r="F29" s="122">
        <v>3</v>
      </c>
      <c r="G29" s="27"/>
    </row>
    <row r="30" s="7" customFormat="1" ht="28.35" customHeight="1" spans="1:39">
      <c r="A30" s="120"/>
      <c r="B30" s="125"/>
      <c r="C30" s="32"/>
      <c r="D30" s="35" t="s">
        <v>165</v>
      </c>
      <c r="E30" s="123"/>
      <c r="F30" s="122">
        <v>2</v>
      </c>
      <c r="G30" s="27"/>
    </row>
    <row r="31" s="7" customFormat="1" ht="16.5" customHeight="1" spans="1:39">
      <c r="A31" s="120"/>
      <c r="B31" s="125"/>
      <c r="C31" s="32"/>
      <c r="D31" s="35" t="s">
        <v>166</v>
      </c>
      <c r="E31" s="123"/>
      <c r="F31" s="122">
        <v>0</v>
      </c>
      <c r="G31" s="27"/>
    </row>
    <row r="32" s="7" customFormat="1" ht="29.9" customHeight="1" spans="1:39">
      <c r="A32" s="120" t="s">
        <v>167</v>
      </c>
      <c r="B32" s="34" t="s">
        <v>168</v>
      </c>
      <c r="C32" s="32"/>
      <c r="D32" s="35" t="s">
        <v>169</v>
      </c>
      <c r="E32" s="123"/>
      <c r="F32" s="122">
        <v>5</v>
      </c>
      <c r="G32" s="27"/>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row>
    <row r="33" s="7" customFormat="1" ht="36.95" customHeight="1" spans="1:39">
      <c r="A33" s="120"/>
      <c r="B33" s="34"/>
      <c r="C33" s="32"/>
      <c r="D33" s="35" t="s">
        <v>170</v>
      </c>
      <c r="E33" s="123"/>
      <c r="F33" s="122">
        <v>4</v>
      </c>
      <c r="G33" s="27"/>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row>
    <row r="34" s="7" customFormat="1" ht="44.05" customHeight="1" spans="1:39">
      <c r="A34" s="120"/>
      <c r="B34" s="34"/>
      <c r="C34" s="32"/>
      <c r="D34" s="35" t="s">
        <v>171</v>
      </c>
      <c r="E34" s="123"/>
      <c r="F34" s="122">
        <v>3</v>
      </c>
      <c r="G34" s="27"/>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row>
    <row r="35" s="7" customFormat="1" ht="46.4" customHeight="1" spans="1:39">
      <c r="A35" s="120"/>
      <c r="B35" s="34"/>
      <c r="C35" s="32"/>
      <c r="D35" s="35" t="s">
        <v>172</v>
      </c>
      <c r="E35" s="123"/>
      <c r="F35" s="122">
        <v>2</v>
      </c>
      <c r="G35" s="27"/>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row>
    <row r="36" s="7" customFormat="1" ht="16.5" customHeight="1" spans="1:39">
      <c r="A36" s="132"/>
      <c r="B36" s="133"/>
      <c r="C36" s="32"/>
      <c r="D36" s="35" t="s">
        <v>173</v>
      </c>
      <c r="E36" s="123"/>
      <c r="F36" s="122">
        <v>0</v>
      </c>
      <c r="G36" s="27"/>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row>
    <row r="37" s="7" customFormat="1" ht="32.25" customHeight="1" spans="1:39">
      <c r="A37" s="123" t="s">
        <v>144</v>
      </c>
      <c r="B37" s="33" t="s">
        <v>174</v>
      </c>
      <c r="C37" s="32"/>
      <c r="D37" s="35" t="s">
        <v>146</v>
      </c>
      <c r="E37" s="123"/>
      <c r="F37" s="122">
        <v>5</v>
      </c>
      <c r="G37" s="27"/>
    </row>
    <row r="38" s="7" customFormat="1" ht="32.25" customHeight="1" spans="1:39">
      <c r="A38" s="123"/>
      <c r="B38" s="33"/>
      <c r="C38" s="32"/>
      <c r="D38" s="35" t="s">
        <v>147</v>
      </c>
      <c r="E38" s="123"/>
      <c r="F38" s="122">
        <v>4</v>
      </c>
      <c r="G38" s="27"/>
    </row>
    <row r="39" s="7" customFormat="1" ht="32.25" customHeight="1" spans="1:39">
      <c r="A39" s="123"/>
      <c r="B39" s="33"/>
      <c r="C39" s="32"/>
      <c r="D39" s="35" t="s">
        <v>148</v>
      </c>
      <c r="E39" s="123"/>
      <c r="F39" s="122">
        <v>3</v>
      </c>
      <c r="G39" s="27"/>
    </row>
    <row r="40" s="7" customFormat="1" ht="32.25" customHeight="1" spans="1:39">
      <c r="A40" s="123"/>
      <c r="B40" s="33"/>
      <c r="C40" s="32"/>
      <c r="D40" s="35" t="s">
        <v>149</v>
      </c>
      <c r="E40" s="123"/>
      <c r="F40" s="122">
        <v>2</v>
      </c>
      <c r="G40" s="27"/>
    </row>
    <row r="41" s="7" customFormat="1" ht="32.25" customHeight="1" spans="1:39">
      <c r="A41" s="123"/>
      <c r="B41" s="33"/>
      <c r="C41" s="32"/>
      <c r="D41" s="35" t="s">
        <v>150</v>
      </c>
      <c r="E41" s="123"/>
      <c r="F41" s="122">
        <v>0</v>
      </c>
      <c r="G41" s="27"/>
    </row>
  </sheetData>
  <mergeCells count="57">
    <mergeCell ref="B2:C2"/>
    <mergeCell ref="A7:E7"/>
    <mergeCell ref="A11:B11"/>
    <mergeCell ref="A12:F12"/>
    <mergeCell ref="C13:D13"/>
    <mergeCell ref="C14:D14"/>
    <mergeCell ref="C15:D15"/>
    <mergeCell ref="C16:D16"/>
    <mergeCell ref="C17:D17"/>
    <mergeCell ref="C18:D18"/>
    <mergeCell ref="A20:G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A2:A3"/>
    <mergeCell ref="A14:A18"/>
    <mergeCell ref="A22:A26"/>
    <mergeCell ref="A27:A31"/>
    <mergeCell ref="A32:A36"/>
    <mergeCell ref="A37:A41"/>
    <mergeCell ref="B14:B18"/>
    <mergeCell ref="B22:B26"/>
    <mergeCell ref="B27:B31"/>
    <mergeCell ref="B32:B36"/>
    <mergeCell ref="B37:B41"/>
    <mergeCell ref="C4:C5"/>
    <mergeCell ref="C22:C26"/>
    <mergeCell ref="C27:C31"/>
    <mergeCell ref="C32:C36"/>
    <mergeCell ref="C37:C41"/>
    <mergeCell ref="D2:D3"/>
    <mergeCell ref="D4:D5"/>
    <mergeCell ref="E2:E3"/>
    <mergeCell ref="E4:E5"/>
    <mergeCell ref="F14:F18"/>
    <mergeCell ref="G22:G26"/>
    <mergeCell ref="G27:G31"/>
    <mergeCell ref="G32:G36"/>
    <mergeCell ref="G37:G4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
  <sheetViews>
    <sheetView zoomScale="80" zoomScaleNormal="80" topLeftCell="A47" workbookViewId="0">
      <selection activeCell="I42" sqref="I42"/>
    </sheetView>
  </sheetViews>
  <sheetFormatPr defaultColWidth="22.7777777777778" defaultRowHeight="14.4"/>
  <cols>
    <col min="1" max="5" width="22.7777777777778" style="49" customWidth="1"/>
    <col min="6" max="6" width="30.1388888888889" style="49" customWidth="1"/>
    <col min="7" max="7" width="22.7777777777778" style="49" customWidth="1"/>
    <col min="8" max="8" width="35.5555555555556" style="49" customWidth="1"/>
    <col min="9" max="16384" width="22.7777777777778" style="49" customWidth="1"/>
  </cols>
  <sheetData>
    <row r="1" s="1" customFormat="1" ht="18" customHeight="1" spans="1:42">
      <c r="A1" s="4" t="s">
        <v>175</v>
      </c>
      <c r="B1" s="4" t="s">
        <v>62</v>
      </c>
      <c r="C1" s="50" t="s">
        <v>176</v>
      </c>
      <c r="D1" s="51"/>
      <c r="E1" s="52" t="s">
        <v>177</v>
      </c>
      <c r="F1" s="53"/>
      <c r="G1" s="53"/>
      <c r="H1" s="5" t="s">
        <v>178</v>
      </c>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row>
    <row r="2" s="1" customFormat="1" ht="18" customHeight="1" spans="1:42">
      <c r="A2" s="5"/>
      <c r="B2" s="5"/>
      <c r="C2" s="5" t="s">
        <v>179</v>
      </c>
      <c r="D2" s="5" t="s">
        <v>180</v>
      </c>
      <c r="E2" s="54" t="s">
        <v>115</v>
      </c>
      <c r="F2" s="5" t="s">
        <v>181</v>
      </c>
      <c r="G2" s="52" t="s">
        <v>182</v>
      </c>
      <c r="H2" s="5"/>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s="1" customFormat="1" ht="45" customHeight="1" spans="1:42">
      <c r="A3" s="9" t="s">
        <v>183</v>
      </c>
      <c r="B3" s="10" t="s">
        <v>121</v>
      </c>
      <c r="C3" s="10">
        <v>3000</v>
      </c>
      <c r="D3" s="9" t="s">
        <v>184</v>
      </c>
      <c r="E3" s="10">
        <v>3500</v>
      </c>
      <c r="F3" s="55" t="s">
        <v>185</v>
      </c>
      <c r="G3" s="55" t="s">
        <v>186</v>
      </c>
      <c r="H3" s="55" t="s">
        <v>187</v>
      </c>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row>
    <row r="4" s="1" customFormat="1" ht="45" customHeight="1" spans="1:42">
      <c r="A4" s="9"/>
      <c r="B4" s="10" t="s">
        <v>188</v>
      </c>
      <c r="C4" s="10">
        <v>3500</v>
      </c>
      <c r="D4" s="9"/>
      <c r="E4" s="10">
        <v>3500</v>
      </c>
      <c r="F4" s="56"/>
      <c r="G4" s="57"/>
      <c r="H4" s="5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row>
    <row r="5" s="1" customFormat="1" ht="45" customHeight="1" spans="1:42">
      <c r="A5" s="9" t="s">
        <v>189</v>
      </c>
      <c r="B5" s="10" t="s">
        <v>188</v>
      </c>
      <c r="C5" s="10">
        <v>3500</v>
      </c>
      <c r="D5" s="10" t="s">
        <v>190</v>
      </c>
      <c r="E5" s="9" t="s">
        <v>191</v>
      </c>
      <c r="F5" s="56"/>
      <c r="G5" s="57"/>
      <c r="H5" s="5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row>
    <row r="6" s="1" customFormat="1" ht="45" customHeight="1" spans="1:42">
      <c r="A6" s="9"/>
      <c r="B6" s="10" t="s">
        <v>192</v>
      </c>
      <c r="C6" s="10">
        <v>4000</v>
      </c>
      <c r="D6" s="10" t="s">
        <v>193</v>
      </c>
      <c r="E6" s="9"/>
      <c r="F6" s="56"/>
      <c r="G6" s="57"/>
      <c r="H6" s="5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row>
    <row r="7" s="1" customFormat="1" ht="95" customHeight="1" spans="1:42">
      <c r="A7" s="9"/>
      <c r="B7" s="10" t="s">
        <v>194</v>
      </c>
      <c r="C7" s="10">
        <v>4000</v>
      </c>
      <c r="D7" s="10" t="s">
        <v>195</v>
      </c>
      <c r="E7" s="11"/>
      <c r="F7" s="56"/>
      <c r="G7" s="57"/>
      <c r="H7" s="5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row>
    <row r="8" s="1" customFormat="1" ht="26" customHeight="1" spans="1:42">
      <c r="A8" s="8" t="s">
        <v>196</v>
      </c>
      <c r="B8" s="20" t="s">
        <v>62</v>
      </c>
      <c r="C8" s="20" t="s">
        <v>196</v>
      </c>
      <c r="D8" s="20"/>
      <c r="E8" s="20" t="s">
        <v>35</v>
      </c>
      <c r="F8" s="20"/>
      <c r="G8" s="20"/>
      <c r="H8" s="20"/>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s="1" customFormat="1" ht="26" customHeight="1" spans="1:42">
      <c r="A9" s="8"/>
      <c r="B9" s="21" t="s">
        <v>197</v>
      </c>
      <c r="C9" s="21" t="s">
        <v>198</v>
      </c>
      <c r="D9" s="21"/>
      <c r="E9" s="22" t="s">
        <v>199</v>
      </c>
      <c r="F9" s="22"/>
      <c r="G9" s="22"/>
      <c r="H9" s="22"/>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row>
    <row r="10" s="1" customFormat="1" ht="26" customHeight="1" spans="1:42">
      <c r="A10" s="8"/>
      <c r="B10" s="21" t="s">
        <v>200</v>
      </c>
      <c r="C10" s="21" t="s">
        <v>201</v>
      </c>
      <c r="D10" s="21"/>
      <c r="E10" s="22"/>
      <c r="F10" s="22"/>
      <c r="G10" s="22"/>
      <c r="H10" s="22"/>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row>
    <row r="11" s="1" customFormat="1" ht="30" customHeight="1" spans="1:42">
      <c r="A11" s="8"/>
      <c r="B11" s="58" t="s">
        <v>202</v>
      </c>
      <c r="C11" s="59" t="s">
        <v>203</v>
      </c>
      <c r="D11" s="59"/>
      <c r="E11" s="22"/>
      <c r="F11" s="22"/>
      <c r="G11" s="22"/>
      <c r="H11" s="22"/>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s="1" customFormat="1" ht="30" customHeight="1" spans="1:42">
      <c r="A12" s="60" t="s">
        <v>204</v>
      </c>
      <c r="B12" s="60"/>
      <c r="C12" s="60"/>
      <c r="D12" s="60"/>
      <c r="E12" s="60"/>
      <c r="F12" s="60"/>
      <c r="G12" s="60"/>
      <c r="H12" s="60"/>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row>
    <row r="13" s="1" customFormat="1" ht="20" customHeight="1" spans="1:42">
      <c r="A13" s="61"/>
      <c r="B13" s="61"/>
      <c r="C13" s="61"/>
      <c r="D13" s="62"/>
      <c r="E13" s="63"/>
      <c r="F13" s="64"/>
      <c r="G13" s="65"/>
      <c r="H13" s="65"/>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row>
    <row r="14" s="1" customFormat="1" ht="20" customHeight="1" spans="1:42">
      <c r="A14" s="9" t="s">
        <v>205</v>
      </c>
      <c r="B14" s="9"/>
      <c r="C14" s="9"/>
      <c r="D14" s="9"/>
      <c r="E14" s="9"/>
      <c r="F14" s="9"/>
      <c r="G14" s="9"/>
      <c r="H14" s="9"/>
      <c r="I14" s="9"/>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row>
    <row r="15" s="1" customFormat="1" ht="20" customHeight="1" spans="1:42">
      <c r="A15" s="66" t="s">
        <v>206</v>
      </c>
      <c r="B15" s="66"/>
      <c r="C15" s="66"/>
      <c r="D15" s="10"/>
      <c r="E15" s="10"/>
      <c r="F15" s="10"/>
      <c r="G15" s="67" t="s">
        <v>207</v>
      </c>
      <c r="H15" s="67" t="s">
        <v>208</v>
      </c>
      <c r="I15" s="6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row>
    <row r="16" s="48" customFormat="1" ht="31" customHeight="1" spans="1:42">
      <c r="A16" s="68" t="s">
        <v>209</v>
      </c>
      <c r="B16" s="69" t="s">
        <v>210</v>
      </c>
      <c r="C16" s="70"/>
      <c r="D16" s="68" t="s">
        <v>152</v>
      </c>
      <c r="E16" s="68" t="s">
        <v>211</v>
      </c>
      <c r="F16" s="68"/>
      <c r="G16" s="68" t="s">
        <v>142</v>
      </c>
      <c r="H16" s="68" t="s">
        <v>212</v>
      </c>
      <c r="I16" s="68" t="s">
        <v>142</v>
      </c>
    </row>
    <row r="17" s="48" customFormat="1" ht="22" customHeight="1" spans="1:10">
      <c r="A17" s="71" t="s">
        <v>213</v>
      </c>
      <c r="B17" s="72" t="s">
        <v>214</v>
      </c>
      <c r="C17" s="72"/>
      <c r="D17" s="73">
        <v>0.2</v>
      </c>
      <c r="E17" s="72" t="s">
        <v>215</v>
      </c>
      <c r="F17" s="72"/>
      <c r="G17" s="74">
        <v>5</v>
      </c>
      <c r="H17" s="75"/>
      <c r="I17" s="75"/>
      <c r="J17" s="76"/>
    </row>
    <row r="18" s="48" customFormat="1" ht="22" customHeight="1" spans="1:10">
      <c r="A18" s="71"/>
      <c r="B18" s="72"/>
      <c r="C18" s="72"/>
      <c r="D18" s="73"/>
      <c r="E18" s="72" t="s">
        <v>216</v>
      </c>
      <c r="F18" s="72"/>
      <c r="G18" s="74">
        <v>4</v>
      </c>
      <c r="H18" s="75"/>
      <c r="I18" s="75"/>
    </row>
    <row r="19" s="48" customFormat="1" ht="22" customHeight="1" spans="1:10">
      <c r="A19" s="71"/>
      <c r="B19" s="72"/>
      <c r="C19" s="72"/>
      <c r="D19" s="73"/>
      <c r="E19" s="72" t="s">
        <v>217</v>
      </c>
      <c r="F19" s="72"/>
      <c r="G19" s="74">
        <v>3</v>
      </c>
      <c r="H19" s="75"/>
      <c r="I19" s="75"/>
    </row>
    <row r="20" s="48" customFormat="1" ht="22" customHeight="1" spans="1:10">
      <c r="A20" s="71"/>
      <c r="B20" s="72"/>
      <c r="C20" s="72"/>
      <c r="D20" s="73"/>
      <c r="E20" s="72" t="s">
        <v>218</v>
      </c>
      <c r="F20" s="72"/>
      <c r="G20" s="74">
        <v>2</v>
      </c>
      <c r="H20" s="75"/>
      <c r="I20" s="75"/>
    </row>
    <row r="21" s="48" customFormat="1" ht="22" customHeight="1" spans="1:10">
      <c r="A21" s="71"/>
      <c r="B21" s="72"/>
      <c r="C21" s="72"/>
      <c r="D21" s="73"/>
      <c r="E21" s="72" t="s">
        <v>219</v>
      </c>
      <c r="F21" s="72"/>
      <c r="G21" s="74">
        <v>0</v>
      </c>
      <c r="H21" s="75"/>
      <c r="I21" s="75"/>
    </row>
    <row r="22" s="48" customFormat="1" ht="22" customHeight="1" spans="1:10">
      <c r="A22" s="77" t="s">
        <v>220</v>
      </c>
      <c r="B22" s="78" t="s">
        <v>221</v>
      </c>
      <c r="C22" s="79"/>
      <c r="D22" s="80">
        <v>0.15</v>
      </c>
      <c r="E22" s="66" t="s">
        <v>222</v>
      </c>
      <c r="F22" s="66"/>
      <c r="G22" s="81">
        <v>5</v>
      </c>
      <c r="H22" s="75"/>
      <c r="I22" s="75"/>
      <c r="J22" s="76"/>
    </row>
    <row r="23" s="48" customFormat="1" ht="22" customHeight="1" spans="1:10">
      <c r="A23" s="77"/>
      <c r="B23" s="78"/>
      <c r="C23" s="79"/>
      <c r="D23" s="80"/>
      <c r="E23" s="66" t="s">
        <v>223</v>
      </c>
      <c r="F23" s="66"/>
      <c r="G23" s="81">
        <v>4</v>
      </c>
      <c r="H23" s="75"/>
      <c r="I23" s="75"/>
    </row>
    <row r="24" s="48" customFormat="1" ht="22" customHeight="1" spans="1:10">
      <c r="A24" s="77"/>
      <c r="B24" s="78"/>
      <c r="C24" s="79"/>
      <c r="D24" s="80"/>
      <c r="E24" s="66" t="s">
        <v>224</v>
      </c>
      <c r="F24" s="66"/>
      <c r="G24" s="81">
        <v>3</v>
      </c>
      <c r="H24" s="75"/>
      <c r="I24" s="75"/>
    </row>
    <row r="25" s="48" customFormat="1" ht="22" customHeight="1" spans="1:10">
      <c r="A25" s="77"/>
      <c r="B25" s="78"/>
      <c r="C25" s="79"/>
      <c r="D25" s="80"/>
      <c r="E25" s="66" t="s">
        <v>225</v>
      </c>
      <c r="F25" s="66"/>
      <c r="G25" s="81">
        <v>2</v>
      </c>
      <c r="H25" s="75"/>
      <c r="I25" s="75"/>
    </row>
    <row r="26" s="48" customFormat="1" ht="22" customHeight="1" spans="1:10">
      <c r="A26" s="77"/>
      <c r="B26" s="78"/>
      <c r="C26" s="79"/>
      <c r="D26" s="80"/>
      <c r="E26" s="66" t="s">
        <v>226</v>
      </c>
      <c r="F26" s="66"/>
      <c r="G26" s="81">
        <v>0</v>
      </c>
      <c r="H26" s="75"/>
      <c r="I26" s="75"/>
    </row>
    <row r="27" s="48" customFormat="1" ht="23" customHeight="1" spans="1:10">
      <c r="A27" s="77" t="s">
        <v>227</v>
      </c>
      <c r="B27" s="82" t="s">
        <v>228</v>
      </c>
      <c r="C27" s="72"/>
      <c r="D27" s="73">
        <v>0.25</v>
      </c>
      <c r="E27" s="66" t="s">
        <v>229</v>
      </c>
      <c r="F27" s="66"/>
      <c r="G27" s="81">
        <v>5</v>
      </c>
      <c r="H27" s="75"/>
      <c r="I27" s="75"/>
      <c r="J27" s="76"/>
    </row>
    <row r="28" s="48" customFormat="1" ht="23" customHeight="1" spans="1:10">
      <c r="A28" s="77"/>
      <c r="B28" s="82"/>
      <c r="C28" s="72"/>
      <c r="D28" s="73"/>
      <c r="E28" s="66" t="s">
        <v>230</v>
      </c>
      <c r="F28" s="66"/>
      <c r="G28" s="81">
        <v>4</v>
      </c>
      <c r="H28" s="75"/>
      <c r="I28" s="75"/>
    </row>
    <row r="29" s="48" customFormat="1" ht="23" customHeight="1" spans="1:10">
      <c r="A29" s="77"/>
      <c r="B29" s="82"/>
      <c r="C29" s="72"/>
      <c r="D29" s="73"/>
      <c r="E29" s="66" t="s">
        <v>231</v>
      </c>
      <c r="F29" s="66"/>
      <c r="G29" s="81">
        <v>3</v>
      </c>
      <c r="H29" s="75"/>
      <c r="I29" s="75"/>
    </row>
    <row r="30" s="48" customFormat="1" ht="23" customHeight="1" spans="1:10">
      <c r="A30" s="77"/>
      <c r="B30" s="82"/>
      <c r="C30" s="72"/>
      <c r="D30" s="73"/>
      <c r="E30" s="66" t="s">
        <v>232</v>
      </c>
      <c r="F30" s="66"/>
      <c r="G30" s="74">
        <v>2</v>
      </c>
      <c r="H30" s="75"/>
      <c r="I30" s="75"/>
    </row>
    <row r="31" s="48" customFormat="1" ht="23" customHeight="1" spans="1:10">
      <c r="A31" s="77"/>
      <c r="B31" s="82"/>
      <c r="C31" s="72"/>
      <c r="D31" s="73"/>
      <c r="E31" s="55" t="s">
        <v>233</v>
      </c>
      <c r="F31" s="55"/>
      <c r="G31" s="83">
        <v>0</v>
      </c>
      <c r="H31" s="75"/>
      <c r="I31" s="75"/>
    </row>
    <row r="32" s="49" customFormat="1" ht="31" customHeight="1" spans="1:10">
      <c r="A32" s="84" t="s">
        <v>234</v>
      </c>
      <c r="B32" s="85" t="s">
        <v>235</v>
      </c>
      <c r="C32" s="86"/>
      <c r="D32" s="87">
        <v>0.15</v>
      </c>
      <c r="E32" s="88" t="s">
        <v>236</v>
      </c>
      <c r="F32" s="88"/>
      <c r="G32" s="89">
        <v>5</v>
      </c>
      <c r="H32" s="21"/>
      <c r="I32" s="90"/>
    </row>
    <row r="33" s="49" customFormat="1" ht="46" customHeight="1" spans="1:41">
      <c r="A33" s="84"/>
      <c r="B33" s="85"/>
      <c r="C33" s="86"/>
      <c r="D33" s="87"/>
      <c r="E33" s="88" t="s">
        <v>237</v>
      </c>
      <c r="F33" s="88"/>
      <c r="G33" s="89">
        <v>4</v>
      </c>
      <c r="H33" s="21"/>
      <c r="I33" s="91"/>
    </row>
    <row r="34" s="49" customFormat="1" ht="37" customHeight="1" spans="1:41">
      <c r="A34" s="84"/>
      <c r="B34" s="85"/>
      <c r="C34" s="86"/>
      <c r="D34" s="87"/>
      <c r="E34" s="88" t="s">
        <v>238</v>
      </c>
      <c r="F34" s="88"/>
      <c r="G34" s="92">
        <v>3</v>
      </c>
      <c r="H34" s="21"/>
      <c r="I34" s="91"/>
    </row>
    <row r="35" s="49" customFormat="1" ht="30" customHeight="1" spans="1:41">
      <c r="A35" s="84"/>
      <c r="B35" s="85"/>
      <c r="C35" s="86"/>
      <c r="D35" s="87"/>
      <c r="E35" s="88" t="s">
        <v>239</v>
      </c>
      <c r="F35" s="88"/>
      <c r="G35" s="93">
        <v>2</v>
      </c>
      <c r="H35" s="21"/>
      <c r="I35" s="91"/>
    </row>
    <row r="36" s="49" customFormat="1" ht="25" customHeight="1" spans="1:41">
      <c r="A36" s="84"/>
      <c r="B36" s="85"/>
      <c r="C36" s="86"/>
      <c r="D36" s="87"/>
      <c r="E36" s="88" t="s">
        <v>240</v>
      </c>
      <c r="F36" s="88"/>
      <c r="G36" s="93">
        <v>0</v>
      </c>
      <c r="H36" s="21"/>
      <c r="I36" s="94"/>
    </row>
    <row r="37" s="49" customFormat="1" ht="21" customHeight="1" spans="1:41">
      <c r="A37" s="95" t="s">
        <v>241</v>
      </c>
      <c r="B37" s="88" t="s">
        <v>242</v>
      </c>
      <c r="C37" s="88"/>
      <c r="D37" s="73">
        <v>0.25</v>
      </c>
      <c r="E37" s="66" t="s">
        <v>243</v>
      </c>
      <c r="F37" s="66"/>
      <c r="G37" s="89">
        <v>5</v>
      </c>
      <c r="H37" s="58"/>
      <c r="I37" s="21"/>
    </row>
    <row r="38" s="49" customFormat="1" ht="21" customHeight="1" spans="1:41">
      <c r="A38" s="95"/>
      <c r="B38" s="88"/>
      <c r="C38" s="88"/>
      <c r="D38" s="73"/>
      <c r="E38" s="66" t="s">
        <v>244</v>
      </c>
      <c r="F38" s="66"/>
      <c r="G38" s="89">
        <v>4</v>
      </c>
      <c r="H38" s="21"/>
      <c r="I38" s="21"/>
    </row>
    <row r="39" s="49" customFormat="1" ht="21" customHeight="1" spans="1:41">
      <c r="A39" s="95"/>
      <c r="B39" s="88"/>
      <c r="C39" s="88"/>
      <c r="D39" s="73"/>
      <c r="E39" s="66" t="s">
        <v>245</v>
      </c>
      <c r="F39" s="66"/>
      <c r="G39" s="89">
        <v>3</v>
      </c>
      <c r="H39" s="21"/>
      <c r="I39" s="21"/>
      <c r="K39" s="96"/>
    </row>
    <row r="40" s="49" customFormat="1" ht="21" customHeight="1" spans="1:41">
      <c r="A40" s="95"/>
      <c r="B40" s="88"/>
      <c r="C40" s="88"/>
      <c r="D40" s="73"/>
      <c r="E40" s="66" t="s">
        <v>246</v>
      </c>
      <c r="F40" s="66"/>
      <c r="G40" s="89">
        <v>2</v>
      </c>
      <c r="H40" s="21"/>
      <c r="I40" s="21"/>
    </row>
    <row r="41" s="49" customFormat="1" ht="49" customHeight="1" spans="1:41">
      <c r="A41" s="95"/>
      <c r="B41" s="88"/>
      <c r="C41" s="88"/>
      <c r="D41" s="73"/>
      <c r="E41" s="66" t="s">
        <v>247</v>
      </c>
      <c r="F41" s="66"/>
      <c r="G41" s="89">
        <v>0</v>
      </c>
      <c r="H41" s="21"/>
      <c r="I41" s="21"/>
    </row>
    <row r="42" s="2" customFormat="1" ht="21" customHeight="1" spans="1:41">
      <c r="A42" s="97" t="s">
        <v>248</v>
      </c>
      <c r="B42" s="97"/>
      <c r="C42" s="97"/>
      <c r="D42" s="97">
        <f>D17+D22+D27+D32+D37</f>
        <v>1</v>
      </c>
      <c r="E42" s="98"/>
      <c r="F42" s="99"/>
      <c r="G42" s="99"/>
      <c r="H42" s="100"/>
      <c r="I42" s="101"/>
    </row>
    <row r="45" s="1" customFormat="1" ht="20" customHeight="1" spans="1:41">
      <c r="A45" s="9" t="s">
        <v>249</v>
      </c>
      <c r="B45" s="9"/>
      <c r="C45" s="9"/>
      <c r="D45" s="9"/>
      <c r="E45" s="9"/>
      <c r="F45" s="9"/>
      <c r="G45" s="9"/>
      <c r="H45" s="9"/>
      <c r="I45" s="9"/>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row>
    <row r="46" s="1" customFormat="1" ht="20" customHeight="1" spans="1:41">
      <c r="A46" s="66" t="s">
        <v>206</v>
      </c>
      <c r="B46" s="66"/>
      <c r="C46" s="66"/>
      <c r="D46" s="10"/>
      <c r="E46" s="10"/>
      <c r="F46" s="10"/>
      <c r="G46" s="67" t="s">
        <v>207</v>
      </c>
      <c r="H46" s="67" t="s">
        <v>208</v>
      </c>
      <c r="I46" s="6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s="48" customFormat="1" ht="31" customHeight="1" spans="1:41">
      <c r="A47" s="68" t="s">
        <v>209</v>
      </c>
      <c r="B47" s="69" t="s">
        <v>210</v>
      </c>
      <c r="C47" s="70"/>
      <c r="D47" s="68" t="s">
        <v>152</v>
      </c>
      <c r="E47" s="68" t="s">
        <v>211</v>
      </c>
      <c r="F47" s="68"/>
      <c r="G47" s="68" t="s">
        <v>142</v>
      </c>
      <c r="H47" s="68" t="s">
        <v>212</v>
      </c>
      <c r="I47" s="68" t="s">
        <v>142</v>
      </c>
    </row>
    <row r="48" s="48" customFormat="1" ht="22" customHeight="1" spans="1:41">
      <c r="A48" s="71" t="s">
        <v>213</v>
      </c>
      <c r="B48" s="72" t="s">
        <v>214</v>
      </c>
      <c r="C48" s="72"/>
      <c r="D48" s="73">
        <v>0.3</v>
      </c>
      <c r="E48" s="72" t="s">
        <v>215</v>
      </c>
      <c r="F48" s="72"/>
      <c r="G48" s="74">
        <v>5</v>
      </c>
      <c r="H48" s="75"/>
      <c r="I48" s="75"/>
      <c r="J48" s="76"/>
    </row>
    <row r="49" s="48" customFormat="1" ht="22" customHeight="1" spans="1:10">
      <c r="A49" s="71"/>
      <c r="B49" s="72"/>
      <c r="C49" s="72"/>
      <c r="D49" s="73"/>
      <c r="E49" s="72" t="s">
        <v>216</v>
      </c>
      <c r="F49" s="72"/>
      <c r="G49" s="74">
        <v>4</v>
      </c>
      <c r="H49" s="75"/>
      <c r="I49" s="75"/>
    </row>
    <row r="50" s="48" customFormat="1" ht="22" customHeight="1" spans="1:10">
      <c r="A50" s="71"/>
      <c r="B50" s="72"/>
      <c r="C50" s="72"/>
      <c r="D50" s="73"/>
      <c r="E50" s="72" t="s">
        <v>217</v>
      </c>
      <c r="F50" s="72"/>
      <c r="G50" s="74">
        <v>3</v>
      </c>
      <c r="H50" s="75"/>
      <c r="I50" s="75"/>
    </row>
    <row r="51" s="48" customFormat="1" ht="22" customHeight="1" spans="1:10">
      <c r="A51" s="71"/>
      <c r="B51" s="72"/>
      <c r="C51" s="72"/>
      <c r="D51" s="73"/>
      <c r="E51" s="72" t="s">
        <v>218</v>
      </c>
      <c r="F51" s="72"/>
      <c r="G51" s="74">
        <v>2</v>
      </c>
      <c r="H51" s="75"/>
      <c r="I51" s="75"/>
    </row>
    <row r="52" s="48" customFormat="1" ht="22" customHeight="1" spans="1:10">
      <c r="A52" s="71"/>
      <c r="B52" s="72"/>
      <c r="C52" s="72"/>
      <c r="D52" s="73"/>
      <c r="E52" s="72" t="s">
        <v>219</v>
      </c>
      <c r="F52" s="72"/>
      <c r="G52" s="74">
        <v>0</v>
      </c>
      <c r="H52" s="75"/>
      <c r="I52" s="75"/>
    </row>
    <row r="53" s="48" customFormat="1" ht="22" customHeight="1" spans="1:10">
      <c r="A53" s="77" t="s">
        <v>220</v>
      </c>
      <c r="B53" s="78" t="s">
        <v>221</v>
      </c>
      <c r="C53" s="79"/>
      <c r="D53" s="80">
        <v>0.25</v>
      </c>
      <c r="E53" s="72" t="s">
        <v>222</v>
      </c>
      <c r="F53" s="72"/>
      <c r="G53" s="81">
        <v>5</v>
      </c>
      <c r="H53" s="75"/>
      <c r="I53" s="75"/>
      <c r="J53" s="76"/>
    </row>
    <row r="54" s="48" customFormat="1" ht="22" customHeight="1" spans="1:10">
      <c r="A54" s="77"/>
      <c r="B54" s="78"/>
      <c r="C54" s="79"/>
      <c r="D54" s="80"/>
      <c r="E54" s="72" t="s">
        <v>223</v>
      </c>
      <c r="F54" s="72"/>
      <c r="G54" s="81">
        <v>4</v>
      </c>
      <c r="H54" s="75"/>
      <c r="I54" s="75"/>
    </row>
    <row r="55" s="48" customFormat="1" ht="22" customHeight="1" spans="1:10">
      <c r="A55" s="77"/>
      <c r="B55" s="78"/>
      <c r="C55" s="79"/>
      <c r="D55" s="80"/>
      <c r="E55" s="72" t="s">
        <v>224</v>
      </c>
      <c r="F55" s="72"/>
      <c r="G55" s="81">
        <v>3</v>
      </c>
      <c r="H55" s="75"/>
      <c r="I55" s="75"/>
    </row>
    <row r="56" s="48" customFormat="1" ht="22" customHeight="1" spans="1:10">
      <c r="A56" s="77"/>
      <c r="B56" s="78"/>
      <c r="C56" s="79"/>
      <c r="D56" s="80"/>
      <c r="E56" s="72" t="s">
        <v>225</v>
      </c>
      <c r="F56" s="72"/>
      <c r="G56" s="81">
        <v>2</v>
      </c>
      <c r="H56" s="75"/>
      <c r="I56" s="75"/>
    </row>
    <row r="57" s="48" customFormat="1" ht="22" customHeight="1" spans="1:10">
      <c r="A57" s="77"/>
      <c r="B57" s="78"/>
      <c r="C57" s="79"/>
      <c r="D57" s="80"/>
      <c r="E57" s="72" t="s">
        <v>226</v>
      </c>
      <c r="F57" s="72"/>
      <c r="G57" s="81">
        <v>0</v>
      </c>
      <c r="H57" s="75"/>
      <c r="I57" s="75"/>
    </row>
    <row r="58" s="48" customFormat="1" ht="23" customHeight="1" spans="1:10">
      <c r="A58" s="77" t="s">
        <v>227</v>
      </c>
      <c r="B58" s="82" t="s">
        <v>228</v>
      </c>
      <c r="C58" s="72"/>
      <c r="D58" s="73">
        <v>0.3</v>
      </c>
      <c r="E58" s="66" t="s">
        <v>229</v>
      </c>
      <c r="F58" s="66"/>
      <c r="G58" s="81">
        <v>5</v>
      </c>
      <c r="H58" s="75"/>
      <c r="I58" s="75"/>
      <c r="J58" s="76"/>
    </row>
    <row r="59" s="48" customFormat="1" ht="23" customHeight="1" spans="1:10">
      <c r="A59" s="77"/>
      <c r="B59" s="82"/>
      <c r="C59" s="72"/>
      <c r="D59" s="73"/>
      <c r="E59" s="66" t="s">
        <v>230</v>
      </c>
      <c r="F59" s="66"/>
      <c r="G59" s="81">
        <v>4</v>
      </c>
      <c r="H59" s="75"/>
      <c r="I59" s="75"/>
    </row>
    <row r="60" s="48" customFormat="1" ht="23" customHeight="1" spans="1:10">
      <c r="A60" s="77"/>
      <c r="B60" s="82"/>
      <c r="C60" s="72"/>
      <c r="D60" s="73"/>
      <c r="E60" s="66" t="s">
        <v>231</v>
      </c>
      <c r="F60" s="66"/>
      <c r="G60" s="81">
        <v>3</v>
      </c>
      <c r="H60" s="75"/>
      <c r="I60" s="75"/>
    </row>
    <row r="61" s="48" customFormat="1" ht="23" customHeight="1" spans="1:10">
      <c r="A61" s="77"/>
      <c r="B61" s="82"/>
      <c r="C61" s="72"/>
      <c r="D61" s="73"/>
      <c r="E61" s="66" t="s">
        <v>232</v>
      </c>
      <c r="F61" s="66"/>
      <c r="G61" s="74">
        <v>2</v>
      </c>
      <c r="H61" s="75"/>
      <c r="I61" s="75"/>
    </row>
    <row r="62" s="48" customFormat="1" ht="23" customHeight="1" spans="1:10">
      <c r="A62" s="77"/>
      <c r="B62" s="82"/>
      <c r="C62" s="72"/>
      <c r="D62" s="73"/>
      <c r="E62" s="55" t="s">
        <v>233</v>
      </c>
      <c r="F62" s="55"/>
      <c r="G62" s="83">
        <v>0</v>
      </c>
      <c r="H62" s="75"/>
      <c r="I62" s="75"/>
    </row>
    <row r="63" s="49" customFormat="1" ht="45" customHeight="1" spans="1:10">
      <c r="A63" s="84" t="s">
        <v>250</v>
      </c>
      <c r="B63" s="85" t="s">
        <v>251</v>
      </c>
      <c r="C63" s="86"/>
      <c r="D63" s="87">
        <v>0.15</v>
      </c>
      <c r="E63" s="88" t="s">
        <v>252</v>
      </c>
      <c r="F63" s="88"/>
      <c r="G63" s="89">
        <v>5</v>
      </c>
      <c r="H63" s="21"/>
      <c r="I63" s="90"/>
    </row>
    <row r="64" s="49" customFormat="1" ht="36" customHeight="1" spans="1:10">
      <c r="A64" s="84"/>
      <c r="B64" s="85"/>
      <c r="C64" s="86"/>
      <c r="D64" s="87"/>
      <c r="E64" s="88" t="s">
        <v>253</v>
      </c>
      <c r="F64" s="88"/>
      <c r="G64" s="89">
        <v>4</v>
      </c>
      <c r="H64" s="21"/>
      <c r="I64" s="91"/>
    </row>
    <row r="65" s="49" customFormat="1" ht="35" customHeight="1" spans="1:9">
      <c r="A65" s="84"/>
      <c r="B65" s="85"/>
      <c r="C65" s="86"/>
      <c r="D65" s="87"/>
      <c r="E65" s="88" t="s">
        <v>254</v>
      </c>
      <c r="F65" s="88"/>
      <c r="G65" s="92">
        <v>3</v>
      </c>
      <c r="H65" s="21"/>
      <c r="I65" s="91"/>
    </row>
    <row r="66" s="49" customFormat="1" ht="26" customHeight="1" spans="1:9">
      <c r="A66" s="84"/>
      <c r="B66" s="85"/>
      <c r="C66" s="86"/>
      <c r="D66" s="87"/>
      <c r="E66" s="88" t="s">
        <v>255</v>
      </c>
      <c r="F66" s="88"/>
      <c r="G66" s="93">
        <v>2</v>
      </c>
      <c r="H66" s="21"/>
      <c r="I66" s="91"/>
    </row>
    <row r="67" s="49" customFormat="1" ht="26" customHeight="1" spans="1:9">
      <c r="A67" s="84"/>
      <c r="B67" s="85"/>
      <c r="C67" s="86"/>
      <c r="D67" s="87"/>
      <c r="E67" s="88" t="s">
        <v>256</v>
      </c>
      <c r="F67" s="88"/>
      <c r="G67" s="93">
        <v>0</v>
      </c>
      <c r="H67" s="21"/>
      <c r="I67" s="94"/>
    </row>
    <row r="68" s="2" customFormat="1" ht="21" customHeight="1" spans="1:9">
      <c r="A68" s="97" t="s">
        <v>248</v>
      </c>
      <c r="B68" s="97"/>
      <c r="C68" s="97"/>
      <c r="D68" s="97">
        <f>D48+D53+D58+D63</f>
        <v>1</v>
      </c>
      <c r="E68" s="98"/>
      <c r="F68" s="99"/>
      <c r="G68" s="99"/>
      <c r="H68" s="100"/>
      <c r="I68" s="101"/>
    </row>
  </sheetData>
  <mergeCells count="127">
    <mergeCell ref="C1:D1"/>
    <mergeCell ref="E1:G1"/>
    <mergeCell ref="C8:D8"/>
    <mergeCell ref="E8:H8"/>
    <mergeCell ref="C9:D9"/>
    <mergeCell ref="C10:D10"/>
    <mergeCell ref="C11:D11"/>
    <mergeCell ref="A12:H12"/>
    <mergeCell ref="A13:C13"/>
    <mergeCell ref="A14:I14"/>
    <mergeCell ref="A15:C15"/>
    <mergeCell ref="D15:F15"/>
    <mergeCell ref="H15:I15"/>
    <mergeCell ref="B16:C16"/>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A42:C42"/>
    <mergeCell ref="E42:H42"/>
    <mergeCell ref="A45:I45"/>
    <mergeCell ref="A46:C46"/>
    <mergeCell ref="D46:F46"/>
    <mergeCell ref="H46:I46"/>
    <mergeCell ref="B47:C47"/>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A68:C68"/>
    <mergeCell ref="E68:H68"/>
    <mergeCell ref="A1:A2"/>
    <mergeCell ref="A3:A4"/>
    <mergeCell ref="A5:A7"/>
    <mergeCell ref="A8:A11"/>
    <mergeCell ref="A17:A21"/>
    <mergeCell ref="A22:A26"/>
    <mergeCell ref="A27:A31"/>
    <mergeCell ref="A32:A36"/>
    <mergeCell ref="A37:A41"/>
    <mergeCell ref="A48:A52"/>
    <mergeCell ref="A53:A57"/>
    <mergeCell ref="A58:A62"/>
    <mergeCell ref="A63:A67"/>
    <mergeCell ref="B1:B2"/>
    <mergeCell ref="D3:D4"/>
    <mergeCell ref="D17:D21"/>
    <mergeCell ref="D22:D26"/>
    <mergeCell ref="D27:D31"/>
    <mergeCell ref="D32:D36"/>
    <mergeCell ref="D37:D41"/>
    <mergeCell ref="D48:D52"/>
    <mergeCell ref="D53:D57"/>
    <mergeCell ref="D58:D62"/>
    <mergeCell ref="D63:D67"/>
    <mergeCell ref="E5:E7"/>
    <mergeCell ref="F3:F7"/>
    <mergeCell ref="G3:G7"/>
    <mergeCell ref="H1:H2"/>
    <mergeCell ref="H3:H7"/>
    <mergeCell ref="H17:H21"/>
    <mergeCell ref="H22:H26"/>
    <mergeCell ref="H27:H31"/>
    <mergeCell ref="H32:H36"/>
    <mergeCell ref="H37:H41"/>
    <mergeCell ref="H48:H52"/>
    <mergeCell ref="H53:H57"/>
    <mergeCell ref="H58:H62"/>
    <mergeCell ref="H63:H67"/>
    <mergeCell ref="I17:I21"/>
    <mergeCell ref="I22:I26"/>
    <mergeCell ref="I27:I31"/>
    <mergeCell ref="I32:I36"/>
    <mergeCell ref="I37:I41"/>
    <mergeCell ref="I48:I52"/>
    <mergeCell ref="I53:I57"/>
    <mergeCell ref="I58:I62"/>
    <mergeCell ref="I63:I67"/>
    <mergeCell ref="E9:H11"/>
    <mergeCell ref="B17:C21"/>
    <mergeCell ref="B22:C26"/>
    <mergeCell ref="B27:C31"/>
    <mergeCell ref="B32:C36"/>
    <mergeCell ref="B37:C41"/>
    <mergeCell ref="B48:C52"/>
    <mergeCell ref="B53:C57"/>
    <mergeCell ref="B58:C62"/>
    <mergeCell ref="B63:C6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3"/>
  <sheetViews>
    <sheetView tabSelected="1" workbookViewId="0">
      <selection activeCell="I11" sqref="I11"/>
    </sheetView>
  </sheetViews>
  <sheetFormatPr defaultColWidth="8.73148148148148" defaultRowHeight="15"/>
  <cols>
    <col min="1" max="1" width="10.8148148148148" style="2" customWidth="1"/>
    <col min="2" max="2" width="14.9166666666667" style="2" customWidth="1"/>
    <col min="3" max="3" width="6.63888888888889" style="2" customWidth="1"/>
    <col min="4" max="4" width="9.08333333333333" style="2" customWidth="1"/>
    <col min="5" max="5" width="10.4537037037037" style="2" customWidth="1"/>
    <col min="6" max="6" width="30.8888888888889" style="2" customWidth="1"/>
    <col min="7" max="7" width="9.63888888888889" style="2" customWidth="1"/>
    <col min="8" max="8" width="18.2685185185185" style="2" customWidth="1"/>
    <col min="9" max="9" width="20.3611111111111" style="2" customWidth="1"/>
    <col min="10" max="10" width="32.2685185185185" style="2" customWidth="1"/>
    <col min="11" max="16384" width="8.73148148148148" style="2"/>
  </cols>
  <sheetData>
    <row r="1" s="1" customFormat="1" ht="18" customHeight="1" spans="1:44">
      <c r="A1" s="3" t="s">
        <v>257</v>
      </c>
      <c r="B1" s="4" t="s">
        <v>175</v>
      </c>
      <c r="C1" s="4" t="s">
        <v>62</v>
      </c>
      <c r="D1" s="5" t="s">
        <v>176</v>
      </c>
      <c r="E1" s="5"/>
      <c r="F1" s="5"/>
      <c r="G1" s="5" t="s">
        <v>258</v>
      </c>
      <c r="H1" s="5"/>
      <c r="I1" s="5" t="s">
        <v>259</v>
      </c>
      <c r="J1" s="6" t="s">
        <v>260</v>
      </c>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row>
    <row r="2" s="1" customFormat="1" ht="18" customHeight="1" spans="1:44">
      <c r="A2" s="8"/>
      <c r="B2" s="5"/>
      <c r="C2" s="5"/>
      <c r="D2" s="5" t="s">
        <v>179</v>
      </c>
      <c r="E2" s="5" t="s">
        <v>180</v>
      </c>
      <c r="F2" s="5" t="s">
        <v>261</v>
      </c>
      <c r="G2" s="5" t="s">
        <v>262</v>
      </c>
      <c r="H2" s="5" t="s">
        <v>263</v>
      </c>
      <c r="I2" s="5"/>
      <c r="J2" s="6"/>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row>
    <row r="3" s="1" customFormat="1" ht="51" customHeight="1" spans="1:44">
      <c r="A3" s="8"/>
      <c r="B3" s="9" t="s">
        <v>264</v>
      </c>
      <c r="C3" s="10" t="s">
        <v>188</v>
      </c>
      <c r="D3" s="10">
        <v>3000</v>
      </c>
      <c r="E3" s="10">
        <v>1500</v>
      </c>
      <c r="F3" s="11" t="s">
        <v>265</v>
      </c>
      <c r="G3" s="12">
        <v>3000</v>
      </c>
      <c r="H3" s="13" t="s">
        <v>266</v>
      </c>
      <c r="I3" s="11" t="s">
        <v>267</v>
      </c>
      <c r="J3" s="14" t="s">
        <v>268</v>
      </c>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row>
    <row r="4" s="1" customFormat="1" ht="51" customHeight="1" spans="1:44">
      <c r="A4" s="8"/>
      <c r="B4" s="9"/>
      <c r="C4" s="10" t="s">
        <v>192</v>
      </c>
      <c r="D4" s="10">
        <v>3500</v>
      </c>
      <c r="E4" s="10">
        <v>2000</v>
      </c>
      <c r="F4" s="15"/>
      <c r="G4" s="12">
        <v>3000</v>
      </c>
      <c r="H4" s="16"/>
      <c r="I4" s="17"/>
      <c r="J4" s="18"/>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row>
    <row r="5" s="1" customFormat="1" ht="51" customHeight="1" spans="1:44">
      <c r="A5" s="8"/>
      <c r="B5" s="11" t="s">
        <v>269</v>
      </c>
      <c r="C5" s="19" t="s">
        <v>194</v>
      </c>
      <c r="D5" s="19">
        <v>4000</v>
      </c>
      <c r="E5" s="19" t="s">
        <v>270</v>
      </c>
      <c r="F5" s="15"/>
      <c r="G5" s="12">
        <v>4000</v>
      </c>
      <c r="H5" s="16"/>
      <c r="I5" s="17"/>
      <c r="J5" s="18"/>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s="1" customFormat="1" ht="26" customHeight="1" spans="1:44">
      <c r="A6" s="8" t="s">
        <v>196</v>
      </c>
      <c r="B6" s="20" t="s">
        <v>62</v>
      </c>
      <c r="C6" s="20" t="s">
        <v>196</v>
      </c>
      <c r="D6" s="20"/>
      <c r="E6" s="20" t="s">
        <v>35</v>
      </c>
      <c r="F6" s="20"/>
      <c r="G6" s="20"/>
      <c r="H6" s="20"/>
      <c r="I6" s="20"/>
      <c r="J6" s="20"/>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row>
    <row r="7" s="1" customFormat="1" ht="26" customHeight="1" spans="1:44">
      <c r="A7" s="8"/>
      <c r="B7" s="21" t="s">
        <v>197</v>
      </c>
      <c r="C7" s="21" t="s">
        <v>198</v>
      </c>
      <c r="D7" s="21"/>
      <c r="E7" s="22" t="s">
        <v>199</v>
      </c>
      <c r="F7" s="22"/>
      <c r="G7" s="22"/>
      <c r="H7" s="22"/>
      <c r="I7" s="22"/>
      <c r="J7" s="22"/>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row>
    <row r="8" s="1" customFormat="1" ht="26" customHeight="1" spans="1:44">
      <c r="A8" s="8"/>
      <c r="B8" s="21" t="s">
        <v>200</v>
      </c>
      <c r="C8" s="21" t="s">
        <v>201</v>
      </c>
      <c r="D8" s="21"/>
      <c r="E8" s="22"/>
      <c r="F8" s="22"/>
      <c r="G8" s="22"/>
      <c r="H8" s="22"/>
      <c r="I8" s="22"/>
      <c r="J8" s="22"/>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row>
    <row r="9" s="1" customFormat="1" ht="30" customHeight="1" spans="1:44">
      <c r="A9" s="23"/>
      <c r="B9" s="24" t="s">
        <v>202</v>
      </c>
      <c r="C9" s="25" t="s">
        <v>203</v>
      </c>
      <c r="D9" s="25"/>
      <c r="E9" s="26"/>
      <c r="F9" s="26"/>
      <c r="G9" s="26"/>
      <c r="H9" s="26"/>
      <c r="I9" s="26"/>
      <c r="J9" s="26"/>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s="2" customFormat="1" ht="19" customHeight="1" spans="1:44">
      <c r="A10" s="8" t="s">
        <v>204</v>
      </c>
      <c r="B10" s="8"/>
      <c r="C10" s="8"/>
      <c r="D10" s="8"/>
      <c r="E10" s="8"/>
      <c r="F10" s="8"/>
      <c r="G10" s="8"/>
      <c r="H10" s="8"/>
      <c r="I10" s="8"/>
      <c r="J10" s="8"/>
    </row>
    <row r="11" s="2" customFormat="1" spans="1:44">
      <c r="A11" s="7" t="s">
        <v>271</v>
      </c>
      <c r="B11" s="7"/>
      <c r="C11" s="7"/>
      <c r="D11" s="7"/>
      <c r="E11" s="7"/>
      <c r="F11" s="7"/>
      <c r="G11" s="7"/>
    </row>
    <row r="12" s="2" customFormat="1" spans="1:44">
      <c r="A12" s="27" t="s">
        <v>272</v>
      </c>
      <c r="B12" s="27"/>
      <c r="C12" s="27"/>
      <c r="D12" s="27"/>
      <c r="E12" s="27"/>
      <c r="F12" s="27"/>
      <c r="G12" s="27"/>
    </row>
    <row r="13" s="2" customFormat="1" spans="1:44">
      <c r="A13" s="28" t="s">
        <v>273</v>
      </c>
      <c r="B13" s="28" t="s">
        <v>274</v>
      </c>
      <c r="C13" s="29" t="s">
        <v>275</v>
      </c>
      <c r="D13" s="30"/>
      <c r="E13" s="31"/>
      <c r="F13" s="29" t="s">
        <v>208</v>
      </c>
      <c r="G13" s="31"/>
    </row>
    <row r="14" s="2" customFormat="1" spans="1:44">
      <c r="A14" s="32" t="s">
        <v>276</v>
      </c>
      <c r="B14" s="28" t="s">
        <v>277</v>
      </c>
      <c r="C14" s="27" t="s">
        <v>278</v>
      </c>
      <c r="D14" s="27"/>
      <c r="E14" s="27"/>
      <c r="F14" s="27"/>
      <c r="G14" s="28" t="s">
        <v>143</v>
      </c>
    </row>
    <row r="15" s="2" customFormat="1" spans="1:44">
      <c r="A15" s="32"/>
      <c r="B15" s="28"/>
      <c r="C15" s="29"/>
      <c r="D15" s="30"/>
      <c r="E15" s="30"/>
      <c r="F15" s="31"/>
      <c r="G15" s="28"/>
    </row>
    <row r="16" s="2" customFormat="1" spans="1:44">
      <c r="A16" s="32"/>
      <c r="B16" s="28"/>
      <c r="C16" s="29"/>
      <c r="D16" s="30"/>
      <c r="E16" s="30"/>
      <c r="F16" s="31"/>
      <c r="G16" s="28"/>
    </row>
    <row r="17" s="2" customFormat="1" spans="1:7">
      <c r="A17" s="32"/>
      <c r="B17" s="28"/>
      <c r="C17" s="29"/>
      <c r="D17" s="30"/>
      <c r="E17" s="30"/>
      <c r="F17" s="31"/>
      <c r="G17" s="28"/>
    </row>
    <row r="18" s="2" customFormat="1" spans="1:7">
      <c r="A18" s="32"/>
      <c r="B18" s="28"/>
      <c r="C18" s="29"/>
      <c r="D18" s="30"/>
      <c r="E18" s="30"/>
      <c r="F18" s="31"/>
      <c r="G18" s="28"/>
    </row>
    <row r="19" s="2" customFormat="1" ht="138" customHeight="1" spans="1:7">
      <c r="A19" s="32"/>
      <c r="B19" s="33" t="s">
        <v>279</v>
      </c>
      <c r="C19" s="34"/>
      <c r="D19" s="34"/>
      <c r="E19" s="34"/>
      <c r="F19" s="35"/>
      <c r="G19" s="28"/>
    </row>
    <row r="20" s="2" customFormat="1" spans="1:7">
      <c r="A20" s="27" t="s">
        <v>280</v>
      </c>
      <c r="B20" s="36" t="s">
        <v>281</v>
      </c>
      <c r="C20" s="37"/>
      <c r="D20" s="37"/>
      <c r="E20" s="37"/>
      <c r="F20" s="38"/>
      <c r="G20" s="39"/>
    </row>
    <row r="21" s="2" customFormat="1" spans="1:7">
      <c r="A21" s="27"/>
      <c r="B21" s="40"/>
      <c r="C21" s="41"/>
      <c r="D21" s="41"/>
      <c r="E21" s="41"/>
      <c r="F21" s="42"/>
      <c r="G21" s="43"/>
    </row>
    <row r="22" s="2" customFormat="1" spans="1:7">
      <c r="A22" s="27"/>
      <c r="B22" s="44"/>
      <c r="C22" s="45"/>
      <c r="D22" s="45"/>
      <c r="E22" s="45"/>
      <c r="F22" s="46"/>
      <c r="G22" s="47"/>
    </row>
    <row r="23" s="2" customFormat="1" spans="1:7">
      <c r="A23" s="29" t="s">
        <v>282</v>
      </c>
      <c r="B23" s="30"/>
      <c r="C23" s="30"/>
      <c r="D23" s="30"/>
      <c r="E23" s="30"/>
      <c r="F23" s="31"/>
      <c r="G23" s="28"/>
    </row>
  </sheetData>
  <mergeCells count="34">
    <mergeCell ref="D1:F1"/>
    <mergeCell ref="G1:H1"/>
    <mergeCell ref="C6:D6"/>
    <mergeCell ref="E6:J6"/>
    <mergeCell ref="C7:D7"/>
    <mergeCell ref="C8:D8"/>
    <mergeCell ref="C9:D9"/>
    <mergeCell ref="A10:J10"/>
    <mergeCell ref="A12:G12"/>
    <mergeCell ref="C13:E13"/>
    <mergeCell ref="F13:G13"/>
    <mergeCell ref="C14:F14"/>
    <mergeCell ref="C15:F15"/>
    <mergeCell ref="C16:F16"/>
    <mergeCell ref="C17:F17"/>
    <mergeCell ref="C18:F18"/>
    <mergeCell ref="B19:F19"/>
    <mergeCell ref="A23:F23"/>
    <mergeCell ref="A1:A5"/>
    <mergeCell ref="A6:A9"/>
    <mergeCell ref="A14:A19"/>
    <mergeCell ref="A20:A22"/>
    <mergeCell ref="B1:B2"/>
    <mergeCell ref="B3:B4"/>
    <mergeCell ref="C1:C2"/>
    <mergeCell ref="F3:F5"/>
    <mergeCell ref="G20:G22"/>
    <mergeCell ref="H3:H5"/>
    <mergeCell ref="I1:I2"/>
    <mergeCell ref="I3:I5"/>
    <mergeCell ref="J1:J2"/>
    <mergeCell ref="J3:J5"/>
    <mergeCell ref="E7:J9"/>
    <mergeCell ref="B20:F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教师</vt:lpstr>
      <vt:lpstr>教师月度绩效（T2开始有）</vt:lpstr>
      <vt:lpstr>教学AD</vt:lpstr>
      <vt:lpstr>培训师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Allen</cp:lastModifiedBy>
  <dcterms:created xsi:type="dcterms:W3CDTF">2023-05-12T11:15:00Z</dcterms:created>
  <dcterms:modified xsi:type="dcterms:W3CDTF">2026-05-06T04:09:56Z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3077F25913C141C48A8EE7E6CC89C091_12</vt:lpwstr>
  </property>
  <property fmtid="{D5CDD505-2E9C-101B-9397-08002B2CF9AE}" pid="4" name="CalculationRule">
    <vt:i4>0</vt:i4>
  </property>
</Properties>
</file>