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升班数据" sheetId="15" r:id="rId1"/>
    <sheet name="老师 " sheetId="9" r:id="rId2"/>
    <sheet name="5月计划" sheetId="8" r:id="rId3"/>
    <sheet name="执行力看板" sheetId="11" state="hidden" r:id="rId4"/>
    <sheet name="听课" sheetId="13" state="hidden" r:id="rId5"/>
    <sheet name="升班" sheetId="10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I4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Sharon占位1</t>
        </r>
        <r>
          <rPr>
            <b/>
            <sz val="9"/>
            <rFont val="宋体"/>
            <charset val="134"/>
          </rPr>
          <t xml:space="preserve">
李润Cici:</t>
        </r>
        <r>
          <rPr>
            <sz val="9"/>
            <rFont val="宋体"/>
            <charset val="134"/>
          </rPr>
          <t xml:space="preserve">
3人未续读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Happy拆班占位
</t>
        </r>
      </text>
    </comment>
    <comment ref="I7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1人退费，1人未续读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Lori测试贾雪妍
</t>
        </r>
      </text>
    </comment>
    <comment ref="I8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2未续读  1人退费
</t>
        </r>
      </text>
    </comment>
    <comment ref="I9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张宸硕未续读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Cookie0523班占位2
</t>
        </r>
      </text>
    </comment>
    <comment ref="I10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I11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Lucy占顾堇兮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2人未续读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Ella测试张博轩 
</t>
        </r>
      </text>
    </comment>
    <comment ref="I12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冯思恺Kelly退费，3人未续读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Lisi测试吴义涵
</t>
        </r>
      </text>
    </comment>
    <comment ref="I13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赵煊城未续读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I14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Lucy排樊锦萱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Millie田雨潼占位
</t>
        </r>
      </text>
    </comment>
    <comment ref="I15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2人退费，1人冻结
</t>
        </r>
      </text>
    </comment>
    <comment ref="I20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Sharon占位1</t>
        </r>
        <r>
          <rPr>
            <b/>
            <sz val="9"/>
            <rFont val="宋体"/>
            <charset val="134"/>
          </rPr>
          <t xml:space="preserve">
李润Cici:</t>
        </r>
        <r>
          <rPr>
            <sz val="9"/>
            <rFont val="宋体"/>
            <charset val="134"/>
          </rPr>
          <t xml:space="preserve">
3人未续读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Happy拆班占位
</t>
        </r>
      </text>
    </comment>
    <comment ref="I23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1人退费，1人未续读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Lori测试贾雪妍
</t>
        </r>
      </text>
    </comment>
    <comment ref="I24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Lucy占顾堇兮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2人未续读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Ella测试张博轩 
</t>
        </r>
      </text>
    </comment>
    <comment ref="I25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冯思恺Kelly退费，3人未续读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Lisi测试吴义涵
</t>
        </r>
      </text>
    </comment>
    <comment ref="I26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Lucy排樊锦萱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Millie田雨潼占位
</t>
        </r>
      </text>
    </comment>
    <comment ref="I29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2未续读  1人退费
</t>
        </r>
      </text>
    </comment>
    <comment ref="I30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张宸硕未续读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Cookie0523班占位2
</t>
        </r>
      </text>
    </comment>
    <comment ref="I31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I32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赵煊城未续读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I55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田家宇冻结
</t>
        </r>
      </text>
    </comment>
    <comment ref="I56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Lisi测试王婉婷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Lucy测试沫沫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Candy占位1 
</t>
        </r>
      </text>
    </comment>
    <comment ref="I57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Lucy测试沫沫
</t>
        </r>
      </text>
    </comment>
    <comment ref="I58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赵沐惜退费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Lisi测试吴义涵
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J3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赵煊城未续读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J4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sunny安祐麟占位，week35进班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Jane--芮晗策排位
</t>
        </r>
      </text>
    </comment>
    <comment ref="J6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2未续读  1人退费
</t>
        </r>
      </text>
    </comment>
    <comment ref="J7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张宸硕未续读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Cookie0523班占位
</t>
        </r>
      </text>
    </comment>
    <comment ref="J11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Lucy占顾堇兮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2人未续读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Ella测试张博轩 
</t>
        </r>
      </text>
    </comment>
    <comment ref="J12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冯思恺Kelly退费，3人未续读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Lisi测试吴义涵
</t>
        </r>
      </text>
    </comment>
    <comment ref="J15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1人退费，1人未续读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Lori测试贾雪妍
</t>
        </r>
      </text>
    </comment>
    <comment ref="J19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Sharon占位1</t>
        </r>
        <r>
          <rPr>
            <b/>
            <sz val="9"/>
            <rFont val="宋体"/>
            <charset val="134"/>
          </rPr>
          <t xml:space="preserve">
李润Cici:</t>
        </r>
        <r>
          <rPr>
            <sz val="9"/>
            <rFont val="宋体"/>
            <charset val="134"/>
          </rPr>
          <t xml:space="preserve">
3人未续读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Happy拆班占位
</t>
        </r>
      </text>
    </comment>
    <comment ref="J21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2人退费，1人冻结
</t>
        </r>
      </text>
    </comment>
    <comment ref="J26" authorId="0">
      <text>
        <r>
          <rPr>
            <b/>
            <sz val="9"/>
            <rFont val="宋体"/>
            <charset val="134"/>
          </rPr>
          <t>Susie:</t>
        </r>
        <r>
          <rPr>
            <sz val="9"/>
            <rFont val="宋体"/>
            <charset val="134"/>
          </rPr>
          <t xml:space="preserve">
Olivia测试张浩昂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Happy拆班占位
</t>
        </r>
      </text>
    </comment>
    <comment ref="J27" authorId="0">
      <text>
        <r>
          <rPr>
            <b/>
            <sz val="9"/>
            <rFont val="宋体"/>
            <charset val="134"/>
          </rPr>
          <t>陈盈然Moon:</t>
        </r>
        <r>
          <rPr>
            <sz val="9"/>
            <rFont val="宋体"/>
            <charset val="134"/>
          </rPr>
          <t xml:space="preserve">
Karry-姜婉祎
</t>
        </r>
      </text>
    </comment>
    <comment ref="J28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田家宇冻结
</t>
        </r>
      </text>
    </comment>
    <comment ref="J30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伍宸晔冻结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Apple0913班占位2
</t>
        </r>
      </text>
    </comment>
    <comment ref="J31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Ella排位妙妙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Cookie0523班占位
</t>
        </r>
      </text>
    </comment>
    <comment ref="J32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Lisi测试王婉婷
</t>
        </r>
      </text>
    </comment>
    <comment ref="J33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Lucy测试沫沫
</t>
        </r>
      </text>
    </comment>
    <comment ref="J34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雷昀晰未续读
</t>
        </r>
      </text>
    </comment>
    <comment ref="J35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赵沐惜退费
</t>
        </r>
      </text>
    </comment>
    <comment ref="J36" authorId="0">
      <text>
        <r>
          <rPr>
            <b/>
            <sz val="9"/>
            <rFont val="宋体"/>
            <charset val="134"/>
          </rPr>
          <t>Susie:</t>
        </r>
        <r>
          <rPr>
            <sz val="9"/>
            <rFont val="宋体"/>
            <charset val="134"/>
          </rPr>
          <t xml:space="preserve">
Jacey班Luna占位
</t>
        </r>
      </text>
    </comment>
    <comment ref="J42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1人冻结
</t>
        </r>
      </text>
    </comment>
    <comment ref="J43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赵梓言冻结
</t>
        </r>
      </text>
    </comment>
    <comment ref="J47" authorId="0">
      <text>
        <r>
          <rPr>
            <b/>
            <sz val="9"/>
            <rFont val="宋体"/>
            <charset val="134"/>
          </rPr>
          <t>Susie:</t>
        </r>
        <r>
          <rPr>
            <sz val="9"/>
            <rFont val="宋体"/>
            <charset val="134"/>
          </rPr>
          <t xml:space="preserve">
Dollar占位
</t>
        </r>
      </text>
    </comment>
    <comment ref="J48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Cookie0523班占位</t>
        </r>
        <r>
          <rPr>
            <b/>
            <sz val="9"/>
            <rFont val="宋体"/>
            <charset val="134"/>
          </rPr>
          <t xml:space="preserve">
李润Cici:</t>
        </r>
        <r>
          <rPr>
            <sz val="9"/>
            <rFont val="宋体"/>
            <charset val="134"/>
          </rPr>
          <t xml:space="preserve">
杨适瑄冻结，后续插班需问一下班位
</t>
        </r>
      </text>
    </comment>
    <comment ref="J49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王梓潼未续读
</t>
        </r>
      </text>
    </comment>
    <comment ref="J51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Astrid占位浩元 Week11进班
</t>
        </r>
      </text>
    </comment>
    <comment ref="J55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Apple-鲁婧祎占位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方恺熠未续读，高梓赫退费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Lisi测试吴义涵
</t>
        </r>
      </text>
    </comment>
    <comment ref="J56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Oli测试汐汐</t>
        </r>
        <r>
          <rPr>
            <b/>
            <sz val="9"/>
            <rFont val="宋体"/>
            <charset val="134"/>
          </rPr>
          <t xml:space="preserve">
崔静Aria:</t>
        </r>
        <r>
          <rPr>
            <sz val="9"/>
            <rFont val="宋体"/>
            <charset val="134"/>
          </rPr>
          <t xml:space="preserve">
Lucy排位恒恒</t>
        </r>
        <r>
          <rPr>
            <b/>
            <sz val="9"/>
            <rFont val="宋体"/>
            <charset val="134"/>
          </rPr>
          <t xml:space="preserve">
Mary:</t>
        </r>
        <r>
          <rPr>
            <sz val="9"/>
            <rFont val="宋体"/>
            <charset val="134"/>
          </rPr>
          <t xml:space="preserve">
李师彤未续读
</t>
        </r>
      </text>
    </comment>
    <comment ref="J58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1人退费，2人未续读
</t>
        </r>
      </text>
    </comment>
    <comment ref="J59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李弈贤退费
</t>
        </r>
      </text>
    </comment>
    <comment ref="J61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徐睿汐冻结
</t>
        </r>
      </text>
    </comment>
    <comment ref="J62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Luna测试正正</t>
        </r>
        <r>
          <rPr>
            <b/>
            <sz val="9"/>
            <rFont val="宋体"/>
            <charset val="134"/>
          </rPr>
          <t xml:space="preserve">
李润Cici:</t>
        </r>
        <r>
          <rPr>
            <sz val="9"/>
            <rFont val="宋体"/>
            <charset val="134"/>
          </rPr>
          <t xml:space="preserve">
3人未续读
</t>
        </r>
      </text>
    </comment>
    <comment ref="J64" authorId="0">
      <text>
        <r>
          <rPr>
            <b/>
            <sz val="9"/>
            <rFont val="宋体"/>
            <charset val="134"/>
          </rPr>
          <t>李润Cici:</t>
        </r>
        <r>
          <rPr>
            <sz val="9"/>
            <rFont val="宋体"/>
            <charset val="134"/>
          </rPr>
          <t xml:space="preserve">
3人退费，1人冻结
</t>
        </r>
      </text>
    </comment>
    <comment ref="J67" authorId="0">
      <text>
        <r>
          <rPr>
            <b/>
            <sz val="9"/>
            <rFont val="宋体"/>
            <charset val="134"/>
          </rPr>
          <t>崔静Aria:</t>
        </r>
        <r>
          <rPr>
            <sz val="9"/>
            <rFont val="宋体"/>
            <charset val="134"/>
          </rPr>
          <t xml:space="preserve">
1人退费</t>
        </r>
        <r>
          <rPr>
            <b/>
            <sz val="9"/>
            <rFont val="宋体"/>
            <charset val="134"/>
          </rPr>
          <t xml:space="preserve">
陈盈然Moon:</t>
        </r>
        <r>
          <rPr>
            <sz val="9"/>
            <rFont val="宋体"/>
            <charset val="134"/>
          </rPr>
          <t xml:space="preserve">
April占位1
</t>
        </r>
      </text>
    </comment>
    <comment ref="J70" authorId="0">
      <text>
        <r>
          <rPr>
            <b/>
            <sz val="9"/>
            <rFont val="宋体"/>
            <charset val="134"/>
          </rPr>
          <t>Mary:</t>
        </r>
        <r>
          <rPr>
            <sz val="9"/>
            <rFont val="宋体"/>
            <charset val="134"/>
          </rPr>
          <t xml:space="preserve">
刘芮彤退费
</t>
        </r>
      </text>
    </comment>
  </commentList>
</comments>
</file>

<file path=xl/sharedStrings.xml><?xml version="1.0" encoding="utf-8"?>
<sst xmlns="http://schemas.openxmlformats.org/spreadsheetml/2006/main" count="899" uniqueCount="323">
  <si>
    <t>序号</t>
  </si>
  <si>
    <t>校区（中文名）</t>
  </si>
  <si>
    <t>升班属性</t>
  </si>
  <si>
    <t>班级编号（和800系统名字一致）</t>
  </si>
  <si>
    <t>上课时间</t>
  </si>
  <si>
    <t>LT全名（名 空格 姓）</t>
  </si>
  <si>
    <t>班主任</t>
  </si>
  <si>
    <t>级别</t>
  </si>
  <si>
    <t>原始人数</t>
  </si>
  <si>
    <t>升班人数</t>
  </si>
  <si>
    <t>升班率</t>
  </si>
  <si>
    <t>当前周数</t>
  </si>
  <si>
    <t>开班日期</t>
  </si>
  <si>
    <t>结业时间</t>
  </si>
  <si>
    <t>在读人数</t>
  </si>
  <si>
    <t>接班周数</t>
  </si>
  <si>
    <t>接班人数</t>
  </si>
  <si>
    <t>原带班老师</t>
  </si>
  <si>
    <t>保定正誉绿谷</t>
  </si>
  <si>
    <t>学年收费（40周）</t>
  </si>
  <si>
    <t>G2B-BDZYLG-210605</t>
  </si>
  <si>
    <t>周六8:50</t>
  </si>
  <si>
    <t>Alisa</t>
  </si>
  <si>
    <t>Aria</t>
  </si>
  <si>
    <t>G2B</t>
  </si>
  <si>
    <t>2025.6.7</t>
  </si>
  <si>
    <t>G3B-BDZYLG-200618</t>
  </si>
  <si>
    <t>周四17:00</t>
  </si>
  <si>
    <t>Happy</t>
  </si>
  <si>
    <t>G3B</t>
  </si>
  <si>
    <t>2025.6.5</t>
  </si>
  <si>
    <t>G3B-BDZYLG-200620</t>
  </si>
  <si>
    <t>Marvin</t>
  </si>
  <si>
    <t>Cici</t>
  </si>
  <si>
    <t>G1B-BDZYLG-230521</t>
  </si>
  <si>
    <t>周日8:50</t>
  </si>
  <si>
    <t>Apple</t>
  </si>
  <si>
    <t>G1B</t>
  </si>
  <si>
    <t>2025.6.8</t>
  </si>
  <si>
    <t>G2B-BDZYLG-231121</t>
  </si>
  <si>
    <t>周二18:50</t>
  </si>
  <si>
    <t>Jennifer</t>
  </si>
  <si>
    <t>2025.6.3</t>
  </si>
  <si>
    <t>Melinda</t>
  </si>
  <si>
    <t>G2B-BDZYLG-231126-1</t>
  </si>
  <si>
    <t>周日18:50</t>
  </si>
  <si>
    <t>K3B-BDZYLG-240523</t>
  </si>
  <si>
    <t>周四18:50</t>
  </si>
  <si>
    <t>Cookie</t>
  </si>
  <si>
    <t>K3B</t>
  </si>
  <si>
    <t>K3B-BDZYLG-240526</t>
  </si>
  <si>
    <t>周日17:00</t>
  </si>
  <si>
    <t>K2B-BDZYLG-240526</t>
  </si>
  <si>
    <t>周日10:40</t>
  </si>
  <si>
    <t>Candice</t>
  </si>
  <si>
    <t>K2B</t>
  </si>
  <si>
    <t>G1B-BDZYLG-241205</t>
  </si>
  <si>
    <t>Yuki</t>
  </si>
  <si>
    <t>Mary</t>
  </si>
  <si>
    <t>G1B-BDZYLG-241208</t>
  </si>
  <si>
    <t>周日15:10</t>
  </si>
  <si>
    <t>Zoe</t>
  </si>
  <si>
    <t>K2B-BDZYLG-250608</t>
  </si>
  <si>
    <t>学年收费（20周）</t>
  </si>
  <si>
    <t>G0-BDZYLG-251221</t>
  </si>
  <si>
    <t>Haley</t>
  </si>
  <si>
    <t>G0</t>
  </si>
  <si>
    <t>2025.12.21</t>
  </si>
  <si>
    <t>SS2-BDZYLG-201213</t>
  </si>
  <si>
    <t>周日10:20</t>
  </si>
  <si>
    <t>Alice</t>
  </si>
  <si>
    <t>SS2</t>
  </si>
  <si>
    <t>2025.6.29</t>
  </si>
  <si>
    <t>小学级别</t>
  </si>
  <si>
    <t>幼儿级别</t>
  </si>
  <si>
    <t>四公续费</t>
  </si>
  <si>
    <t>时间</t>
  </si>
  <si>
    <t>节点</t>
  </si>
  <si>
    <t>周数</t>
  </si>
  <si>
    <t>在读率</t>
  </si>
  <si>
    <t>四公</t>
  </si>
  <si>
    <t>预估续费率79-80</t>
  </si>
  <si>
    <t>Yuki 1</t>
  </si>
  <si>
    <t>Happy 5</t>
  </si>
  <si>
    <t>Cookie1</t>
  </si>
  <si>
    <t>Candice 1</t>
  </si>
  <si>
    <t>三公</t>
  </si>
  <si>
    <t>二公</t>
  </si>
  <si>
    <t>一公</t>
  </si>
  <si>
    <t>K2</t>
  </si>
  <si>
    <t>K3</t>
  </si>
  <si>
    <t>G1</t>
  </si>
  <si>
    <t>G2</t>
  </si>
  <si>
    <t>G3</t>
  </si>
  <si>
    <t>二公补费</t>
  </si>
  <si>
    <t>补费人数</t>
  </si>
  <si>
    <t>G3A-BDZYLG-230521</t>
  </si>
  <si>
    <t>Millie</t>
  </si>
  <si>
    <t>G3A</t>
  </si>
  <si>
    <t>G2A-BDZYLG-240524</t>
  </si>
  <si>
    <t>周五18:50</t>
  </si>
  <si>
    <t>G2A</t>
  </si>
  <si>
    <t>2025.12.19</t>
  </si>
  <si>
    <t>G2A-BDZYLG-240525</t>
  </si>
  <si>
    <t>周六18:50</t>
  </si>
  <si>
    <t>2025.12.27</t>
  </si>
  <si>
    <t>G1A-BDZYLG-250607</t>
  </si>
  <si>
    <t>周六15:10</t>
  </si>
  <si>
    <t>G1A</t>
  </si>
  <si>
    <t>2025.12.20</t>
  </si>
  <si>
    <t>退费</t>
  </si>
  <si>
    <t>4月</t>
  </si>
  <si>
    <t>3.30-4.5</t>
  </si>
  <si>
    <t>张鋆凡</t>
  </si>
  <si>
    <t>绿谷</t>
  </si>
  <si>
    <t>2026.3.26</t>
  </si>
  <si>
    <t>SS2-BDZYLG-200913-3</t>
  </si>
  <si>
    <t>8周</t>
  </si>
  <si>
    <t>报名其他机构</t>
  </si>
  <si>
    <t>未续费，续费结束就去上一对一了，和现在的时间点冲突；反正初一下搬家天津，索性就不上了</t>
  </si>
  <si>
    <t>邢耘赫</t>
  </si>
  <si>
    <t>2026.3.14</t>
  </si>
  <si>
    <t>SS2-BDZYLG-210313-2</t>
  </si>
  <si>
    <t>Serena</t>
  </si>
  <si>
    <t>13周</t>
  </si>
  <si>
    <t>升初中</t>
  </si>
  <si>
    <t>上八一两周回来一次，励步效果认可，但没时间来；剩下的学费转给妹妹邢诗苒</t>
  </si>
  <si>
    <t>闫展赫</t>
  </si>
  <si>
    <t>14周</t>
  </si>
  <si>
    <t>兴趣问题</t>
  </si>
  <si>
    <t>孩子状态不好，没有兴趣，不愿意来上课</t>
  </si>
  <si>
    <t>高梓赫</t>
  </si>
  <si>
    <t>2026.2.28</t>
  </si>
  <si>
    <t>G1A-BDZYLG-250322</t>
  </si>
  <si>
    <t>22周</t>
  </si>
  <si>
    <t>老师、班级、时间不合适</t>
  </si>
  <si>
    <t>周六晚上上课孩子犯困，找了好几个班时间都不合适</t>
  </si>
  <si>
    <t>4.13-4.19</t>
  </si>
  <si>
    <t>王泽开</t>
  </si>
  <si>
    <t>2026.3.18</t>
  </si>
  <si>
    <t>G2A-BDZYLG-210307</t>
  </si>
  <si>
    <t>34周</t>
  </si>
  <si>
    <t>冻结时间过长，没有合适的班可以进，也不想进；家长最近找了一对一</t>
  </si>
  <si>
    <t>4.27-5.3</t>
  </si>
  <si>
    <t>周语乔</t>
  </si>
  <si>
    <t>2026.4.11</t>
  </si>
  <si>
    <t>48周</t>
  </si>
  <si>
    <t>换师、拆班</t>
  </si>
  <si>
    <t>本来打算上到9月份上初中再退费，但是要换班换师，妈妈觉得剩几个月没必要了，要把学费转给弟弟</t>
  </si>
  <si>
    <t>5月</t>
  </si>
  <si>
    <t>5.11-5.17</t>
  </si>
  <si>
    <t>闫祖慈</t>
  </si>
  <si>
    <t>转学、搬家</t>
  </si>
  <si>
    <t>打算离开保定，上国际学校，上不了了</t>
  </si>
  <si>
    <t>何畅</t>
  </si>
  <si>
    <t>2026.4.16</t>
  </si>
  <si>
    <t>G1B-BDZYLG-230830</t>
  </si>
  <si>
    <t>19周</t>
  </si>
  <si>
    <t>爸爸工作变动要去天津发展，孩子也要去天津上学，学习效果没问题</t>
  </si>
  <si>
    <t>张起华</t>
  </si>
  <si>
    <t>SS2-BDZYLG-210313</t>
  </si>
  <si>
    <t>48+2周</t>
  </si>
  <si>
    <t>课程、作业难度过高</t>
  </si>
  <si>
    <t>课学不会，一直对她都困难。初中上长城也不学，又学不会就不上了</t>
  </si>
  <si>
    <t>退费原因</t>
  </si>
  <si>
    <t>学不会</t>
  </si>
  <si>
    <t>搬家</t>
  </si>
  <si>
    <t>小学老师</t>
  </si>
  <si>
    <t>幼儿老师</t>
  </si>
  <si>
    <t>G3B集体备课帮扶+判断高阶是否能够带？</t>
  </si>
  <si>
    <t>Astrid</t>
  </si>
  <si>
    <t>有意向进行高阶学习教授，目前在进行高阶内容的培训，整体的个人创新能力和学习能力都很强，不会轻易受其他人影响，计划带高阶班</t>
  </si>
  <si>
    <t>4月未沟通，但是续费和日常状态都很好</t>
  </si>
  <si>
    <t>续费大户，4月无沟通计划</t>
  </si>
  <si>
    <t>跟他沟通过带下一个班的计划，从个人精力和时间上觉得有一定困难，不过也可以接受，就是一个很慢，但是对班级孩子都超级负责的老师，是学习型的老师，但是学起来超级慢</t>
  </si>
  <si>
    <t>4月未沟通，续费很好，G级别的课程上的不好，需要做帮扶</t>
  </si>
  <si>
    <t>稳定性+转高阶</t>
  </si>
  <si>
    <t>可以带cecilia的二手班，计划在6月份给他进行班级交接</t>
  </si>
  <si>
    <t>目前在进行G1的培训，整体这个老师还是正能量的，这轮续费有一个班级拉胯需要关注状态</t>
  </si>
  <si>
    <t>Becky</t>
  </si>
  <si>
    <t>融入度稳定性</t>
  </si>
  <si>
    <t>中规中矩的老师，数据跟盯比之前有进步，没有怀孕计划，因为有多囊目前一直在吃药所以短期内不会怀孕</t>
  </si>
  <si>
    <t>Winnie</t>
  </si>
  <si>
    <t>未发现稳定性问题，课上的不够好</t>
  </si>
  <si>
    <t>经过G3的磨课来看，带高阶会比较困难，更多是没有自己的思考，创新能力不足，做事比较慢，可以学其他人的但是自己没有自己的一套方法</t>
  </si>
  <si>
    <t>需要关注是否持续有状态的问题，昨天的rebuyppt梳理的很清晰，有能力但是存在偷懒的情况？</t>
  </si>
  <si>
    <t>Cecilia</t>
  </si>
  <si>
    <t>交接节奏沟通</t>
  </si>
  <si>
    <t>Ashley</t>
  </si>
  <si>
    <t>带一个班，但是班级群里的负责任心是很强的，是一个慢热的老师，比上个月的时候的融入度要高一些</t>
  </si>
  <si>
    <t>6月开始做交接</t>
  </si>
  <si>
    <t>Carina</t>
  </si>
  <si>
    <t>暂无，离职计划</t>
  </si>
  <si>
    <t>存在发音中式，课程一般的问题，已面聊过要求做发音和数据的整改，给三个月整改期，整体这个老师不是很喜欢教孩子，看到孩子不兴奋不激动所以很难有声音上很大的起伏</t>
  </si>
  <si>
    <t>G1培训</t>
  </si>
  <si>
    <t>聊到了6月离职，需要判断astrid自己能否都接了他的班？是否可以两个人接？</t>
  </si>
  <si>
    <t>是否有计划带第五个班</t>
  </si>
  <si>
    <t>两个班，计划通过班量减少淘汰，经常会开玩笑问我会给我班把之类的</t>
  </si>
  <si>
    <t>稳定性</t>
  </si>
  <si>
    <t>暂无</t>
  </si>
  <si>
    <t>怀孕计划</t>
  </si>
  <si>
    <t>是否有计划在励步长时间干，融入度问题</t>
  </si>
  <si>
    <r>
      <rPr>
        <sz val="10"/>
        <color rgb="FF000000"/>
        <rFont val="微软雅黑"/>
        <charset val="134"/>
      </rPr>
      <t>本月最重点的工作目标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（1-2个）</t>
    </r>
  </si>
  <si>
    <t>目标一：四公班级续费达成80%的续费率
盯最后几个定金补费，和我自己的班级续费
目标二：公开课和PPT的过课和跟定
5月按照计划做所有老师的公开课和PPT的过堂和跟盯
目标三：盘点三公和二公班级
目标四:新班首月跟盯
1.rebuy过堂
2.课上清晰反馈，做跟盯记录和要求</t>
  </si>
  <si>
    <r>
      <rPr>
        <sz val="10"/>
        <color rgb="FFEA3324"/>
        <rFont val="微软雅黑"/>
        <charset val="134"/>
      </rPr>
      <t xml:space="preserve">
</t>
    </r>
    <r>
      <rPr>
        <sz val="10"/>
        <color rgb="FFEA3324"/>
        <rFont val="微软雅黑"/>
        <charset val="134"/>
      </rPr>
      <t>亲密度*专业度*健康度</t>
    </r>
    <r>
      <rPr>
        <sz val="10"/>
        <rFont val="宋体"/>
        <charset val="134"/>
      </rPr>
      <t xml:space="preserve">
</t>
    </r>
    <r>
      <rPr>
        <sz val="10"/>
        <color rgb="FFEA3324"/>
        <rFont val="微软雅黑"/>
        <charset val="134"/>
      </rPr>
      <t>如何进行目标制定：（亲密度，专业度，产品效能）---维度 老师，班，项目业务----符合5W1H</t>
    </r>
    <r>
      <rPr>
        <sz val="10"/>
        <rFont val="宋体"/>
        <charset val="134"/>
      </rPr>
      <t xml:space="preserve">
</t>
    </r>
    <r>
      <rPr>
        <sz val="10"/>
        <color rgb="FFEA3324"/>
        <rFont val="微软雅黑"/>
        <charset val="134"/>
      </rPr>
      <t>常规目标（参考年度目标制定3.6.9.12+听课情况）</t>
    </r>
    <r>
      <rPr>
        <sz val="10"/>
        <rFont val="宋体"/>
        <charset val="134"/>
      </rPr>
      <t xml:space="preserve">
</t>
    </r>
    <r>
      <rPr>
        <sz val="10"/>
        <color rgb="FFEA3324"/>
        <rFont val="微软雅黑"/>
        <charset val="134"/>
      </rPr>
      <t>重点目标：（每年5/8/11/2进行计划季度计划</t>
    </r>
    <r>
      <rPr>
        <sz val="10"/>
        <rFont val="宋体"/>
        <charset val="134"/>
      </rPr>
      <t xml:space="preserve">
</t>
    </r>
    <r>
      <rPr>
        <sz val="10"/>
        <color rgb="FFEA3324"/>
        <rFont val="微软雅黑"/>
        <charset val="134"/>
      </rPr>
      <t>Q1：亲密度培训+升班培训（5月上旬通过听课拉出重点班级学员名单跟老师制定计划，下旬进行每周回收+家长回访）</t>
    </r>
  </si>
  <si>
    <t>4+5月月度计划表</t>
  </si>
  <si>
    <t>板块</t>
  </si>
  <si>
    <t>包含内容</t>
  </si>
  <si>
    <t>权重</t>
  </si>
  <si>
    <t>本月目标（数据，达成效果）</t>
  </si>
  <si>
    <t>关键步骤（具体时间，涉及到的人，方式方法）</t>
  </si>
  <si>
    <t>分项评分</t>
  </si>
  <si>
    <t>总评分</t>
  </si>
  <si>
    <t>升班业绩</t>
  </si>
  <si>
    <r>
      <rPr>
        <sz val="10"/>
        <color rgb="FF000000"/>
        <rFont val="微软雅黑"/>
        <charset val="134"/>
      </rPr>
      <t>周巡检安排；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续费跟盯；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新开班；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拆合并班；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交接班等</t>
    </r>
  </si>
  <si>
    <t>1.结业班级所有续费的回收结尾和拆班事宜</t>
  </si>
  <si>
    <t xml:space="preserve">5月上半月进行续费的最后总结和跟定
同时进行拆班的计划--cookie周四班
</t>
  </si>
  <si>
    <t>2.三公（week 30)班级所有学员的情况的盘点和动作回收</t>
  </si>
  <si>
    <t>通过过堂PPT进行三公的PPT回收，通过问卷进行班级的情况预估</t>
  </si>
  <si>
    <t>3.二公班级所有学员情况盘点回收</t>
  </si>
  <si>
    <t>本月进行二轮回收</t>
  </si>
  <si>
    <t>4.新班首月rebuy的回收</t>
  </si>
  <si>
    <t>进行所有老师的rebuy的PPT回收和跟定</t>
  </si>
  <si>
    <t>课质效果</t>
  </si>
  <si>
    <r>
      <rPr>
        <sz val="10"/>
        <color rgb="FF000000"/>
        <rFont val="微软雅黑"/>
        <charset val="134"/>
      </rPr>
      <t>听课；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巡课；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过课；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教师单独辅导等</t>
    </r>
  </si>
  <si>
    <t>1.老师的单独听课课质把控</t>
  </si>
  <si>
    <t>Candice
Millie
Becky
Zoe</t>
  </si>
  <si>
    <t>2.过课</t>
  </si>
  <si>
    <t>按照区域安排进行过课和磨课</t>
  </si>
  <si>
    <t>团队赋能</t>
  </si>
  <si>
    <r>
      <rPr>
        <sz val="10"/>
        <color rgb="FF000000"/>
        <rFont val="微软雅黑"/>
        <charset val="134"/>
      </rPr>
      <t>根据团队业务问题能提供的赋能；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人员管理（辅导／二责／教师沟通／团队风气建设等）</t>
    </r>
  </si>
  <si>
    <t>例会</t>
  </si>
  <si>
    <t>本月开始出现的问题--班级里出现的问题学员的每周例会进行分析，不一定能够完美的解决，但是可以给大家更多的方法--上月进行了一个老师的分享，本月开始增加主题要求，把日常的问题结合主题进行讨论</t>
  </si>
  <si>
    <t>执行力</t>
  </si>
  <si>
    <t>能按时完成上级分配的任务</t>
  </si>
  <si>
    <t>——</t>
  </si>
  <si>
    <r>
      <t xml:space="preserve">工作亮点：
</t>
    </r>
    <r>
      <rPr>
        <b/>
        <sz val="12"/>
        <color rgb="FF000000"/>
        <rFont val="等线"/>
        <charset val="134"/>
      </rPr>
      <t>1.响应高效，闭环意识强</t>
    </r>
    <r>
      <rPr>
        <sz val="12"/>
        <color rgb="FF000000"/>
        <rFont val="等线"/>
        <charset val="134"/>
      </rPr>
      <t xml:space="preserve">：日常工作始终保持高响应度，做到事项及时反馈、问题及时跟进；针对发现的问题第一时间启动沟通对接，同步核查老师的工作状态与落地情况，确保事事有回音、件件有着落，保障团队日常工作平稳推进。
</t>
    </r>
    <r>
      <rPr>
        <b/>
        <sz val="12"/>
        <color rgb="FF000000"/>
        <rFont val="等线"/>
        <charset val="134"/>
      </rPr>
      <t>2.自我成长驱动力足，注重长期身心建设</t>
    </r>
    <r>
      <rPr>
        <sz val="12"/>
        <color rgb="FF000000"/>
        <rFont val="等线"/>
        <charset val="134"/>
      </rPr>
      <t xml:space="preserve">：在工作之外保持持续学习的状态，主动深耕中医知识、关注身体健康，同时坚持规律运动，做到身心同修，以稳定的状态支撑工作与个人成长的双向推进。
工作踩坑点：
</t>
    </r>
    <r>
      <rPr>
        <b/>
        <sz val="12"/>
        <color rgb="FF000000"/>
        <rFont val="等线"/>
        <charset val="134"/>
      </rPr>
      <t>1.问题识别敏感度不足，风险预判能力偏弱</t>
    </r>
    <r>
      <rPr>
        <sz val="12"/>
        <color rgb="FF000000"/>
        <rFont val="等线"/>
        <charset val="134"/>
      </rPr>
      <t xml:space="preserve">：对工作中的潜在问题察觉偏迟钝，缺乏敏锐的洞察力，难以第一时间捕捉到苗头性、倾向性的问题，往往等问题显现后才启动处理。
</t>
    </r>
    <r>
      <rPr>
        <b/>
        <sz val="12"/>
        <color rgb="FF000000"/>
        <rFont val="等线"/>
        <charset val="134"/>
      </rPr>
      <t>2.低估细节隐患的累积效应，对小事干预不足</t>
    </r>
    <r>
      <rPr>
        <sz val="12"/>
        <color rgb="FF000000"/>
        <rFont val="等线"/>
        <charset val="134"/>
      </rPr>
      <t xml:space="preserve">：容易对日常工作中的小问题、小疏漏放松警惕，默认 “小事无伤大雅”，没有及时进行干预、提醒和纠偏，忽视了小事持续发酵会演变成团队老师的共性问题、顽固性问题。
新认知：
</t>
    </r>
    <r>
      <rPr>
        <b/>
        <sz val="12"/>
        <color rgb="FF000000"/>
        <rFont val="等线"/>
        <charset val="134"/>
      </rPr>
      <t>1.管理无小事，细节是团队管理的核心防线</t>
    </r>
    <r>
      <rPr>
        <sz val="12"/>
        <color rgb="FF000000"/>
        <rFont val="等线"/>
        <charset val="134"/>
      </rPr>
      <t xml:space="preserve">：看似不起眼的小疏忽、小问题，本质上是团队执行与管理的漏洞，若不及时纠偏，日积月累就会发酵成难以解决的顽疾。比起事后解决大问题，更重要的是把小事管到位、把漏洞堵在源头。
</t>
    </r>
    <r>
      <rPr>
        <b/>
        <sz val="12"/>
        <color rgb="FF000000"/>
        <rFont val="等线"/>
        <charset val="134"/>
      </rPr>
      <t>2.身心状态是职业能力的底层基石</t>
    </r>
    <r>
      <rPr>
        <sz val="12"/>
        <color rgb="FF000000"/>
        <rFont val="等线"/>
        <charset val="134"/>
      </rPr>
      <t>：学习中医、关注身体、坚持运动，不止是个人生活的修行，更是职业发展的核心支撑。稳定的精力、平和的情绪、清醒的判断力，都来自于健康的身心状态，只有照顾好自己，才能更从容、更精准地做好团队管理工作。</t>
    </r>
  </si>
  <si>
    <t>271盘点：
2：Apple Astrid candice Cookie
7:  Becky Jennifer Millie Winnie Yuki zoe ashley?
1:Serena
怀孕：Cecilia
主动离职：Carina</t>
  </si>
  <si>
    <t>winnie</t>
  </si>
  <si>
    <t>上课纪律</t>
  </si>
  <si>
    <t>becky</t>
  </si>
  <si>
    <t>上课和之前不一样，态度有问题</t>
  </si>
  <si>
    <t>millie</t>
  </si>
  <si>
    <t>上课淡淡的</t>
  </si>
  <si>
    <t>保定正誉绿谷教师升班率统计表</t>
  </si>
  <si>
    <t>预计升班人数</t>
  </si>
  <si>
    <t>预计升班率</t>
  </si>
  <si>
    <t>四公班</t>
  </si>
  <si>
    <t>拆班-班位问题</t>
  </si>
  <si>
    <t>A-B</t>
  </si>
  <si>
    <t>G3A-BDZYLG-201211-2</t>
  </si>
  <si>
    <t>G3A-BDZYLG-201212-1</t>
  </si>
  <si>
    <t>周六10:40</t>
  </si>
  <si>
    <t>SS1-BDZYLG-190907</t>
  </si>
  <si>
    <t>周六10:20</t>
  </si>
  <si>
    <t>Krystal</t>
  </si>
  <si>
    <t>SS1</t>
  </si>
  <si>
    <t>G3A-BDZYLG-211204</t>
  </si>
  <si>
    <t>周六17:00</t>
  </si>
  <si>
    <t>学不会，已通知续费</t>
  </si>
  <si>
    <t>G1A-BDZYLG-231120</t>
  </si>
  <si>
    <t>K3A-BDZYLG-231121</t>
  </si>
  <si>
    <t>K3A</t>
  </si>
  <si>
    <t>2025.12.16</t>
  </si>
  <si>
    <t>G1A-BDZYLG-231126</t>
  </si>
  <si>
    <t>本周开启</t>
  </si>
  <si>
    <t>K3A-BDZYLG-241207</t>
  </si>
  <si>
    <t>K2A-BDZYLG-251220</t>
  </si>
  <si>
    <t>K2A</t>
  </si>
  <si>
    <t>SS2-BDZYLG-210605</t>
  </si>
  <si>
    <t>周六13:40</t>
  </si>
  <si>
    <t>2026.1.3</t>
  </si>
  <si>
    <t>K1B-BDZYLG-251012</t>
  </si>
  <si>
    <t>K1B</t>
  </si>
  <si>
    <t>2025.10.12</t>
  </si>
  <si>
    <t>K2B-BDZYLG-250928</t>
  </si>
  <si>
    <t>周三18:50</t>
  </si>
  <si>
    <t>2025.9.28</t>
  </si>
  <si>
    <t>K2B-BDZYLG-251012</t>
  </si>
  <si>
    <t>20+3</t>
  </si>
  <si>
    <t>Penny</t>
  </si>
  <si>
    <t>K2B-BDZYLG-251009</t>
  </si>
  <si>
    <t>2025.10.9</t>
  </si>
  <si>
    <t>K3B-BDZYLG-240911</t>
  </si>
  <si>
    <t>2025.10.15</t>
  </si>
  <si>
    <t>K3B-BDZYLG-240915</t>
  </si>
  <si>
    <t>K3B-BDZYLG-240910</t>
  </si>
  <si>
    <t>2025.9.30</t>
  </si>
  <si>
    <t>拆这个</t>
  </si>
  <si>
    <t>K3B-BDZYLG-230827</t>
  </si>
  <si>
    <t>G0-BDZYLG-260404</t>
  </si>
  <si>
    <t>2026.4.4</t>
  </si>
  <si>
    <t>G0-BDZYLG-260331</t>
  </si>
  <si>
    <t>2026.3.31</t>
  </si>
  <si>
    <t>G1B-BDZYLG-250322</t>
  </si>
  <si>
    <t>2025.9.27</t>
  </si>
  <si>
    <t>有1人跳级后10人</t>
  </si>
  <si>
    <t>G1B-BDZYLG-250317</t>
  </si>
  <si>
    <t>周一18:50</t>
  </si>
  <si>
    <t>2025.9.29</t>
  </si>
  <si>
    <t>G2B-BDZYLG-240309</t>
  </si>
  <si>
    <t>G2B-BDZYLG-220903</t>
  </si>
  <si>
    <t>G3B-BDZYLG-200913-1</t>
  </si>
  <si>
    <t>Karry</t>
  </si>
  <si>
    <t>G3B-BDZYLG-230317</t>
  </si>
  <si>
    <t>2025.10.10</t>
  </si>
  <si>
    <t>G3B-BDZYLG-200913-2</t>
  </si>
  <si>
    <t>G3B-BDZYLG-210912-1</t>
  </si>
  <si>
    <t>Emily</t>
  </si>
  <si>
    <t>SS1-BDZYLG-200910-1</t>
  </si>
  <si>
    <t>周四18:20</t>
  </si>
  <si>
    <t>SS1-BDZYLG-200912-1</t>
  </si>
  <si>
    <t>周六8:00</t>
  </si>
  <si>
    <t>SS1-BDZYLG-220312</t>
  </si>
  <si>
    <t>周六16:00</t>
  </si>
  <si>
    <t>Heidi</t>
  </si>
  <si>
    <t>SS2-BDZYLG-210911</t>
  </si>
  <si>
    <t>2025.10.25</t>
  </si>
  <si>
    <t>SS3-BDZYLG-191213</t>
  </si>
  <si>
    <t>周五18:20</t>
  </si>
  <si>
    <t>Wesley</t>
  </si>
  <si>
    <t>SS3</t>
  </si>
  <si>
    <t>2025.11.14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</si>
</sst>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46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indexed="8"/>
      <name val="微软雅黑"/>
      <charset val="134"/>
    </font>
    <font>
      <sz val="12"/>
      <color rgb="FF000000"/>
      <name val="宋体"/>
      <charset val="134"/>
    </font>
    <font>
      <b/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EA3324"/>
      <name val="微软雅黑"/>
      <charset val="134"/>
    </font>
    <font>
      <sz val="10"/>
      <color rgb="FF04B0F1"/>
      <name val="微软雅黑"/>
      <charset val="134"/>
    </font>
    <font>
      <sz val="10"/>
      <color rgb="FF000000"/>
      <name val="等线"/>
      <charset val="134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b/>
      <sz val="18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2"/>
      <name val="Microsoft YaHei"/>
      <charset val="0"/>
    </font>
    <font>
      <sz val="12"/>
      <color indexed="8"/>
      <name val="Microsoft YaHei"/>
      <charset val="0"/>
    </font>
    <font>
      <sz val="10"/>
      <name val="等线"/>
      <charset val="0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等线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E4B3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7B07F"/>
        <bgColor indexed="64"/>
      </patternFill>
    </fill>
    <fill>
      <patternFill patternType="solid">
        <fgColor rgb="FFA4A5A5"/>
        <bgColor indexed="64"/>
      </patternFill>
    </fill>
    <fill>
      <patternFill patternType="solid">
        <fgColor rgb="FF55803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17" borderId="3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7" applyNumberFormat="0" applyAlignment="0" applyProtection="0">
      <alignment vertical="center"/>
    </xf>
    <xf numFmtId="0" fontId="32" fillId="19" borderId="38" applyNumberFormat="0" applyAlignment="0" applyProtection="0">
      <alignment vertical="center"/>
    </xf>
    <xf numFmtId="0" fontId="33" fillId="19" borderId="37" applyNumberFormat="0" applyAlignment="0" applyProtection="0">
      <alignment vertical="center"/>
    </xf>
    <xf numFmtId="0" fontId="34" fillId="20" borderId="39" applyNumberFormat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0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left" vertical="center" wrapText="1"/>
    </xf>
    <xf numFmtId="10" fontId="3" fillId="5" borderId="3" xfId="0" applyNumberFormat="1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/>
    </xf>
    <xf numFmtId="10" fontId="3" fillId="0" borderId="3" xfId="3" applyNumberFormat="1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/>
    <xf numFmtId="0" fontId="3" fillId="0" borderId="3" xfId="0" applyFont="1" applyFill="1" applyBorder="1" applyAlignment="1" applyProtection="1">
      <alignment horizontal="left"/>
    </xf>
    <xf numFmtId="1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3" fillId="5" borderId="3" xfId="0" applyFont="1" applyFill="1" applyBorder="1" applyAlignment="1" applyProtection="1">
      <alignment horizontal="left" vertical="center" wrapText="1"/>
    </xf>
    <xf numFmtId="10" fontId="3" fillId="6" borderId="3" xfId="0" applyNumberFormat="1" applyFont="1" applyFill="1" applyBorder="1" applyAlignment="1" applyProtection="1">
      <alignment horizontal="left" vertical="center" wrapText="1"/>
    </xf>
    <xf numFmtId="0" fontId="6" fillId="0" borderId="3" xfId="0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/>
    </xf>
    <xf numFmtId="0" fontId="3" fillId="7" borderId="3" xfId="0" applyFont="1" applyFill="1" applyBorder="1" applyAlignment="1" applyProtection="1">
      <alignment horizontal="left" vertical="center" wrapText="1"/>
    </xf>
    <xf numFmtId="0" fontId="8" fillId="6" borderId="3" xfId="0" applyFont="1" applyFill="1" applyBorder="1" applyAlignment="1" applyProtection="1">
      <alignment horizontal="center" vertical="center" wrapText="1"/>
    </xf>
    <xf numFmtId="0" fontId="8" fillId="6" borderId="3" xfId="0" applyFont="1" applyFill="1" applyBorder="1" applyAlignment="1" applyProtection="1">
      <alignment horizontal="left" vertical="center" wrapText="1"/>
    </xf>
    <xf numFmtId="176" fontId="3" fillId="6" borderId="3" xfId="0" applyNumberFormat="1" applyFont="1" applyFill="1" applyBorder="1" applyAlignment="1" applyProtection="1">
      <alignment horizontal="left" vertical="center"/>
    </xf>
    <xf numFmtId="0" fontId="3" fillId="6" borderId="3" xfId="0" applyFont="1" applyFill="1" applyBorder="1" applyAlignment="1" applyProtection="1">
      <alignment horizontal="center"/>
    </xf>
    <xf numFmtId="0" fontId="3" fillId="6" borderId="3" xfId="0" applyFont="1" applyFill="1" applyBorder="1" applyAlignment="1" applyProtection="1">
      <alignment horizontal="center" vertical="center" wrapText="1"/>
    </xf>
    <xf numFmtId="10" fontId="9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/>
    <xf numFmtId="0" fontId="3" fillId="8" borderId="3" xfId="0" applyFont="1" applyFill="1" applyBorder="1" applyAlignment="1" applyProtection="1">
      <alignment horizontal="left" vertical="center" wrapText="1"/>
    </xf>
    <xf numFmtId="176" fontId="3" fillId="0" borderId="3" xfId="0" applyNumberFormat="1" applyFont="1" applyFill="1" applyBorder="1" applyAlignment="1" applyProtection="1">
      <alignment horizontal="left" vertical="center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7" borderId="3" xfId="0" applyFont="1" applyFill="1" applyBorder="1" applyAlignment="1"/>
    <xf numFmtId="177" fontId="3" fillId="0" borderId="3" xfId="0" applyNumberFormat="1" applyFont="1" applyFill="1" applyBorder="1" applyAlignment="1" applyProtection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2" fillId="0" borderId="0" xfId="0" applyFont="1">
      <alignment vertical="center"/>
    </xf>
    <xf numFmtId="0" fontId="10" fillId="0" borderId="3" xfId="0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 applyProtection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 applyProtection="1">
      <alignment horizontal="left" vertical="center" wrapText="1"/>
    </xf>
    <xf numFmtId="0" fontId="12" fillId="0" borderId="5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3" xfId="0" applyFont="1" applyBorder="1" applyProtection="1">
      <alignment vertical="center"/>
    </xf>
    <xf numFmtId="0" fontId="10" fillId="0" borderId="3" xfId="0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vertical="center" wrapText="1"/>
    </xf>
    <xf numFmtId="0" fontId="10" fillId="0" borderId="5" xfId="0" applyFont="1" applyBorder="1" applyAlignment="1" applyProtection="1">
      <alignment horizontal="left" vertical="center" wrapText="1"/>
    </xf>
    <xf numFmtId="0" fontId="13" fillId="0" borderId="3" xfId="0" applyFont="1" applyBorder="1" applyProtection="1">
      <alignment vertical="center"/>
    </xf>
    <xf numFmtId="0" fontId="10" fillId="0" borderId="9" xfId="0" applyFont="1" applyBorder="1" applyAlignment="1" applyProtection="1">
      <alignment horizontal="left" vertical="center" wrapText="1"/>
    </xf>
    <xf numFmtId="0" fontId="10" fillId="0" borderId="9" xfId="0" applyFont="1" applyBorder="1" applyAlignment="1" applyProtection="1">
      <alignment vertical="center" wrapText="1"/>
    </xf>
    <xf numFmtId="9" fontId="10" fillId="0" borderId="9" xfId="0" applyNumberFormat="1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vertical="center" wrapText="1"/>
    </xf>
    <xf numFmtId="0" fontId="11" fillId="0" borderId="5" xfId="0" applyFont="1" applyBorder="1" applyAlignment="1" applyProtection="1">
      <alignment horizontal="left" vertical="center" wrapText="1"/>
    </xf>
    <xf numFmtId="0" fontId="2" fillId="0" borderId="9" xfId="0" applyFont="1" applyBorder="1" applyProtection="1">
      <alignment vertical="center"/>
    </xf>
    <xf numFmtId="0" fontId="13" fillId="0" borderId="0" xfId="0" applyFont="1">
      <alignment vertical="center"/>
    </xf>
    <xf numFmtId="0" fontId="2" fillId="0" borderId="3" xfId="0" applyFont="1" applyBorder="1" applyAlignment="1" applyProtection="1">
      <alignment vertical="center" wrapText="1"/>
    </xf>
    <xf numFmtId="0" fontId="14" fillId="0" borderId="3" xfId="0" applyFont="1" applyBorder="1" applyAlignment="1" applyProtection="1">
      <alignment vertical="center" wrapText="1"/>
    </xf>
    <xf numFmtId="0" fontId="10" fillId="0" borderId="5" xfId="0" applyFont="1" applyBorder="1" applyAlignment="1" applyProtection="1">
      <alignment horizontal="left" vertical="top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vertical="center" wrapText="1"/>
    </xf>
    <xf numFmtId="0" fontId="13" fillId="0" borderId="0" xfId="0" applyFont="1" applyAlignment="1">
      <alignment vertical="center" wrapText="1"/>
    </xf>
    <xf numFmtId="0" fontId="2" fillId="0" borderId="3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0" fontId="13" fillId="0" borderId="9" xfId="0" applyFont="1" applyBorder="1" applyProtection="1">
      <alignment vertical="center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3" fillId="0" borderId="3" xfId="0" applyFont="1" applyBorder="1" applyAlignment="1" applyProtection="1">
      <alignment vertical="center" wrapText="1"/>
    </xf>
    <xf numFmtId="0" fontId="10" fillId="0" borderId="11" xfId="0" applyFont="1" applyBorder="1" applyAlignment="1" applyProtection="1">
      <alignment vertical="center" wrapText="1"/>
    </xf>
    <xf numFmtId="0" fontId="10" fillId="0" borderId="7" xfId="0" applyFont="1" applyBorder="1" applyAlignment="1" applyProtection="1">
      <alignment horizontal="left" vertical="center" wrapText="1"/>
    </xf>
    <xf numFmtId="0" fontId="10" fillId="0" borderId="12" xfId="0" applyFont="1" applyBorder="1" applyAlignment="1" applyProtection="1">
      <alignment vertical="center" wrapText="1"/>
    </xf>
    <xf numFmtId="0" fontId="10" fillId="0" borderId="6" xfId="0" applyFont="1" applyBorder="1" applyAlignment="1" applyProtection="1">
      <alignment horizontal="left" vertical="center" wrapText="1"/>
    </xf>
    <xf numFmtId="0" fontId="10" fillId="0" borderId="13" xfId="0" applyFont="1" applyBorder="1" applyAlignment="1" applyProtection="1">
      <alignment horizontal="left" vertical="center" wrapText="1"/>
    </xf>
    <xf numFmtId="0" fontId="13" fillId="0" borderId="2" xfId="0" applyFont="1" applyBorder="1" applyProtection="1">
      <alignment vertical="center"/>
    </xf>
    <xf numFmtId="0" fontId="10" fillId="0" borderId="2" xfId="0" applyFont="1" applyBorder="1" applyAlignment="1" applyProtection="1">
      <alignment horizontal="left" vertical="center" wrapText="1"/>
    </xf>
    <xf numFmtId="0" fontId="10" fillId="0" borderId="14" xfId="0" applyFont="1" applyBorder="1" applyAlignment="1" applyProtection="1">
      <alignment horizontal="left" vertical="center" wrapText="1"/>
    </xf>
    <xf numFmtId="9" fontId="10" fillId="0" borderId="15" xfId="0" applyNumberFormat="1" applyFont="1" applyBorder="1" applyAlignment="1" applyProtection="1">
      <alignment horizontal="left" vertical="center"/>
    </xf>
    <xf numFmtId="9" fontId="10" fillId="0" borderId="5" xfId="0" applyNumberFormat="1" applyFont="1" applyBorder="1" applyAlignment="1" applyProtection="1">
      <alignment horizontal="left" vertical="center"/>
    </xf>
    <xf numFmtId="0" fontId="15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9" borderId="8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8" xfId="0" applyBorder="1">
      <alignment vertical="center"/>
    </xf>
    <xf numFmtId="0" fontId="3" fillId="6" borderId="8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8" xfId="0" applyBorder="1" applyAlignment="1">
      <alignment vertical="center" wrapText="1"/>
    </xf>
    <xf numFmtId="0" fontId="3" fillId="10" borderId="8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16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7" xfId="0" applyFont="1" applyFill="1" applyBorder="1" applyAlignment="1" applyProtection="1">
      <alignment horizontal="center" vertical="center" wrapText="1"/>
    </xf>
    <xf numFmtId="0" fontId="3" fillId="0" borderId="18" xfId="0" applyFont="1" applyFill="1" applyBorder="1" applyAlignment="1" applyProtection="1">
      <alignment horizontal="center" vertical="center" wrapText="1"/>
    </xf>
    <xf numFmtId="0" fontId="3" fillId="0" borderId="19" xfId="0" applyFont="1" applyFill="1" applyBorder="1" applyAlignment="1" applyProtection="1">
      <alignment horizontal="center" vertical="center" wrapText="1"/>
    </xf>
    <xf numFmtId="10" fontId="0" fillId="0" borderId="0" xfId="3" applyNumberFormat="1" applyFont="1">
      <alignment vertical="center"/>
    </xf>
    <xf numFmtId="0" fontId="16" fillId="11" borderId="0" xfId="0" applyFont="1" applyFill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8" fillId="0" borderId="20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9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8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0" fontId="18" fillId="0" borderId="3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8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7" fillId="12" borderId="8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7" fillId="12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1" xfId="0" applyBorder="1" applyAlignment="1">
      <alignment horizontal="center" vertical="center"/>
    </xf>
    <xf numFmtId="0" fontId="0" fillId="0" borderId="22" xfId="0" applyBorder="1">
      <alignment vertical="center"/>
    </xf>
    <xf numFmtId="10" fontId="0" fillId="0" borderId="8" xfId="3" applyNumberFormat="1" applyFon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8" borderId="3" xfId="0" applyFont="1" applyFill="1" applyBorder="1" applyAlignment="1" applyProtection="1">
      <alignment horizontal="center" vertical="center"/>
    </xf>
    <xf numFmtId="0" fontId="20" fillId="13" borderId="25" xfId="0" applyFont="1" applyFill="1" applyBorder="1" applyAlignment="1" applyProtection="1">
      <alignment horizontal="center" vertical="center"/>
    </xf>
    <xf numFmtId="0" fontId="20" fillId="0" borderId="26" xfId="0" applyFont="1" applyFill="1" applyBorder="1" applyAlignment="1" applyProtection="1">
      <alignment horizontal="center" vertical="center"/>
    </xf>
    <xf numFmtId="0" fontId="20" fillId="14" borderId="27" xfId="0" applyFont="1" applyFill="1" applyBorder="1" applyAlignment="1" applyProtection="1">
      <alignment vertical="center"/>
    </xf>
    <xf numFmtId="0" fontId="20" fillId="14" borderId="25" xfId="0" applyFont="1" applyFill="1" applyBorder="1" applyAlignment="1" applyProtection="1">
      <alignment vertical="center"/>
    </xf>
    <xf numFmtId="0" fontId="21" fillId="14" borderId="25" xfId="0" applyFont="1" applyFill="1" applyBorder="1" applyAlignment="1" applyProtection="1">
      <alignment vertical="center"/>
    </xf>
    <xf numFmtId="0" fontId="20" fillId="14" borderId="26" xfId="0" applyFont="1" applyFill="1" applyBorder="1" applyAlignment="1" applyProtection="1">
      <alignment vertical="center"/>
    </xf>
    <xf numFmtId="0" fontId="21" fillId="14" borderId="26" xfId="0" applyFont="1" applyFill="1" applyBorder="1" applyAlignment="1" applyProtection="1">
      <alignment horizontal="left" vertical="center"/>
    </xf>
    <xf numFmtId="0" fontId="21" fillId="14" borderId="26" xfId="0" applyFont="1" applyFill="1" applyBorder="1" applyAlignment="1" applyProtection="1">
      <alignment vertical="center"/>
    </xf>
    <xf numFmtId="0" fontId="20" fillId="13" borderId="28" xfId="0" applyFont="1" applyFill="1" applyBorder="1" applyAlignment="1" applyProtection="1">
      <alignment horizontal="center" vertical="center"/>
    </xf>
    <xf numFmtId="0" fontId="20" fillId="14" borderId="29" xfId="0" applyFont="1" applyFill="1" applyBorder="1" applyAlignment="1" applyProtection="1">
      <alignment vertical="center"/>
    </xf>
    <xf numFmtId="0" fontId="20" fillId="14" borderId="30" xfId="0" applyFont="1" applyFill="1" applyBorder="1" applyAlignment="1" applyProtection="1">
      <alignment vertical="center"/>
    </xf>
    <xf numFmtId="0" fontId="20" fillId="14" borderId="28" xfId="0" applyFont="1" applyFill="1" applyBorder="1" applyAlignment="1" applyProtection="1">
      <alignment vertical="center"/>
    </xf>
    <xf numFmtId="0" fontId="21" fillId="14" borderId="28" xfId="0" applyFont="1" applyFill="1" applyBorder="1" applyAlignment="1" applyProtection="1">
      <alignment vertical="center"/>
    </xf>
    <xf numFmtId="0" fontId="21" fillId="14" borderId="25" xfId="0" applyFont="1" applyFill="1" applyBorder="1" applyAlignment="1" applyProtection="1">
      <alignment horizontal="left" vertical="center"/>
    </xf>
    <xf numFmtId="0" fontId="21" fillId="0" borderId="26" xfId="0" applyFont="1" applyFill="1" applyBorder="1" applyAlignment="1" applyProtection="1">
      <alignment horizontal="center" vertical="center"/>
    </xf>
    <xf numFmtId="0" fontId="21" fillId="0" borderId="31" xfId="0" applyFont="1" applyFill="1" applyBorder="1" applyAlignment="1" applyProtection="1">
      <alignment horizontal="center" vertical="center"/>
    </xf>
    <xf numFmtId="0" fontId="22" fillId="15" borderId="25" xfId="0" applyFont="1" applyFill="1" applyBorder="1" applyAlignment="1" applyProtection="1">
      <alignment horizontal="center" vertical="center"/>
    </xf>
    <xf numFmtId="0" fontId="21" fillId="0" borderId="25" xfId="0" applyFont="1" applyFill="1" applyBorder="1" applyAlignment="1" applyProtection="1">
      <alignment horizontal="center" vertical="center"/>
    </xf>
    <xf numFmtId="0" fontId="20" fillId="0" borderId="26" xfId="0" applyFont="1" applyFill="1" applyBorder="1" applyAlignment="1" applyProtection="1">
      <alignment vertical="center"/>
    </xf>
    <xf numFmtId="0" fontId="21" fillId="0" borderId="26" xfId="0" applyFont="1" applyFill="1" applyBorder="1" applyAlignment="1" applyProtection="1">
      <alignment vertical="center"/>
    </xf>
    <xf numFmtId="0" fontId="21" fillId="0" borderId="26" xfId="0" applyFont="1" applyFill="1" applyBorder="1" applyAlignment="1" applyProtection="1">
      <alignment horizontal="left" vertical="center"/>
    </xf>
    <xf numFmtId="0" fontId="22" fillId="15" borderId="28" xfId="0" applyFont="1" applyFill="1" applyBorder="1" applyAlignment="1" applyProtection="1">
      <alignment horizontal="center" vertical="center"/>
    </xf>
    <xf numFmtId="0" fontId="22" fillId="0" borderId="28" xfId="0" applyFont="1" applyFill="1" applyBorder="1" applyAlignment="1" applyProtection="1">
      <alignment vertical="center"/>
    </xf>
    <xf numFmtId="0" fontId="22" fillId="15" borderId="32" xfId="0" applyFont="1" applyFill="1" applyBorder="1" applyAlignment="1" applyProtection="1">
      <alignment horizontal="center" vertical="center"/>
    </xf>
    <xf numFmtId="0" fontId="22" fillId="0" borderId="32" xfId="0" applyFont="1" applyFill="1" applyBorder="1" applyAlignment="1" applyProtection="1">
      <alignment vertical="center"/>
    </xf>
    <xf numFmtId="0" fontId="0" fillId="0" borderId="33" xfId="0" applyBorder="1">
      <alignment vertical="center"/>
    </xf>
    <xf numFmtId="0" fontId="0" fillId="16" borderId="8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升班数据!$E$43</c:f>
              <c:strCache>
                <c:ptCount val="1"/>
                <c:pt idx="0">
                  <c:v>升班率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升班数据!$B$44:$B$49</c:f>
              <c:strCache>
                <c:ptCount val="6"/>
                <c:pt idx="0">
                  <c:v>K2</c:v>
                </c:pt>
                <c:pt idx="1">
                  <c:v>K3</c:v>
                </c:pt>
                <c:pt idx="2">
                  <c:v>G0</c:v>
                </c:pt>
                <c:pt idx="3">
                  <c:v>G1</c:v>
                </c:pt>
                <c:pt idx="4">
                  <c:v>G2</c:v>
                </c:pt>
                <c:pt idx="5">
                  <c:v>G3</c:v>
                </c:pt>
              </c:strCache>
            </c:strRef>
          </c:cat>
          <c:val>
            <c:numRef>
              <c:f>升班数据!$E$44:$E$49</c:f>
              <c:numCache>
                <c:formatCode>0.00%</c:formatCode>
                <c:ptCount val="6"/>
                <c:pt idx="0">
                  <c:v>0.892857142857143</c:v>
                </c:pt>
                <c:pt idx="1">
                  <c:v>0.6</c:v>
                </c:pt>
                <c:pt idx="2">
                  <c:v>0.928571428571429</c:v>
                </c:pt>
                <c:pt idx="3">
                  <c:v>0.804878048780488</c:v>
                </c:pt>
                <c:pt idx="4">
                  <c:v>0.862068965517241</c:v>
                </c:pt>
                <c:pt idx="5">
                  <c:v>0.666666666666667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7231419"/>
        <c:axId val="103184918"/>
      </c:barChart>
      <c:catAx>
        <c:axId val="3372314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84918"/>
        <c:crosses val="autoZero"/>
        <c:auto val="1"/>
        <c:lblAlgn val="ctr"/>
        <c:lblOffset val="100"/>
        <c:noMultiLvlLbl val="0"/>
      </c:catAx>
      <c:valAx>
        <c:axId val="1031849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2314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eeed38-c8e9-49a1-9e90-f2aae91b55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退费原因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升班数据!$I$72:$I$76</c:f>
              <c:strCache>
                <c:ptCount val="5"/>
                <c:pt idx="0">
                  <c:v>退费原因</c:v>
                </c:pt>
                <c:pt idx="1">
                  <c:v>升初中</c:v>
                </c:pt>
                <c:pt idx="2">
                  <c:v>兴趣问题</c:v>
                </c:pt>
                <c:pt idx="3">
                  <c:v>学不会</c:v>
                </c:pt>
                <c:pt idx="4">
                  <c:v>搬家</c:v>
                </c:pt>
              </c:strCache>
            </c:strRef>
          </c:cat>
          <c:val>
            <c:numRef>
              <c:f>升班数据!$J$72:$J$76</c:f>
              <c:numCache>
                <c:formatCode>General</c:formatCode>
                <c:ptCount val="5"/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20b467-ebbf-46ea-a7ab-a9e245495c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476250</xdr:colOff>
      <xdr:row>40</xdr:row>
      <xdr:rowOff>168275</xdr:rowOff>
    </xdr:from>
    <xdr:to>
      <xdr:col>11</xdr:col>
      <xdr:colOff>54610</xdr:colOff>
      <xdr:row>51</xdr:row>
      <xdr:rowOff>121285</xdr:rowOff>
    </xdr:to>
    <xdr:graphicFrame>
      <xdr:nvGraphicFramePr>
        <xdr:cNvPr id="7" name="图表 6"/>
        <xdr:cNvGraphicFramePr/>
      </xdr:nvGraphicFramePr>
      <xdr:xfrm>
        <a:off x="5715635" y="8912225"/>
        <a:ext cx="6356985" cy="2132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766445</xdr:colOff>
      <xdr:row>70</xdr:row>
      <xdr:rowOff>194310</xdr:rowOff>
    </xdr:from>
    <xdr:to>
      <xdr:col>18</xdr:col>
      <xdr:colOff>347980</xdr:colOff>
      <xdr:row>86</xdr:row>
      <xdr:rowOff>97790</xdr:rowOff>
    </xdr:to>
    <xdr:graphicFrame>
      <xdr:nvGraphicFramePr>
        <xdr:cNvPr id="8" name="图表 7"/>
        <xdr:cNvGraphicFramePr/>
      </xdr:nvGraphicFramePr>
      <xdr:xfrm>
        <a:off x="11725910" y="15213330"/>
        <a:ext cx="5920740" cy="3279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11</xdr:col>
      <xdr:colOff>427355</xdr:colOff>
      <xdr:row>25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8466455" cy="5081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zoomScale="85" zoomScaleNormal="85" workbookViewId="0">
      <selection activeCell="D27" sqref="D27"/>
    </sheetView>
  </sheetViews>
  <sheetFormatPr defaultColWidth="9" defaultRowHeight="15.6"/>
  <cols>
    <col min="4" max="4" width="22.8787878787879" customWidth="1"/>
    <col min="5" max="5" width="12.6287878787879"/>
    <col min="6" max="6" width="24.1136363636364" customWidth="1"/>
    <col min="9" max="9" width="17.1287878787879" customWidth="1"/>
    <col min="11" max="11" width="12.6287878787879"/>
  </cols>
  <sheetData>
    <row r="1" s="1" customFormat="1" ht="16.5" customHeight="1" spans="1:18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2" t="s">
        <v>15</v>
      </c>
      <c r="Q1" s="12" t="s">
        <v>16</v>
      </c>
      <c r="R1" s="12" t="s">
        <v>17</v>
      </c>
    </row>
    <row r="2" s="1" customFormat="1" ht="33" customHeight="1" spans="1:18">
      <c r="A2" s="14">
        <v>1</v>
      </c>
      <c r="B2" s="15" t="s">
        <v>18</v>
      </c>
      <c r="C2" s="15" t="s">
        <v>19</v>
      </c>
      <c r="D2" s="15" t="s">
        <v>20</v>
      </c>
      <c r="E2" s="15" t="s">
        <v>21</v>
      </c>
      <c r="F2" s="15" t="s">
        <v>22</v>
      </c>
      <c r="G2" s="20" t="s">
        <v>23</v>
      </c>
      <c r="H2" s="20" t="s">
        <v>24</v>
      </c>
      <c r="I2" s="20">
        <v>14</v>
      </c>
      <c r="J2" s="20">
        <v>12</v>
      </c>
      <c r="K2" s="28">
        <f t="shared" ref="K2:K16" si="0">J2/I2</f>
        <v>0.857142857142857</v>
      </c>
      <c r="L2" s="17">
        <v>38</v>
      </c>
      <c r="M2" s="14" t="s">
        <v>25</v>
      </c>
      <c r="N2" s="14">
        <v>2026.6</v>
      </c>
      <c r="O2" s="14">
        <v>14</v>
      </c>
      <c r="P2" s="19"/>
      <c r="Q2" s="19"/>
      <c r="R2" s="19"/>
    </row>
    <row r="3" s="1" customFormat="1" ht="16.5" customHeight="1" spans="1:18">
      <c r="A3" s="14">
        <v>2</v>
      </c>
      <c r="B3" s="15" t="s">
        <v>18</v>
      </c>
      <c r="C3" s="15" t="s">
        <v>19</v>
      </c>
      <c r="D3" s="27" t="s">
        <v>26</v>
      </c>
      <c r="E3" s="15" t="s">
        <v>27</v>
      </c>
      <c r="F3" s="15" t="s">
        <v>28</v>
      </c>
      <c r="G3" s="20" t="s">
        <v>23</v>
      </c>
      <c r="H3" s="20" t="s">
        <v>29</v>
      </c>
      <c r="I3" s="20">
        <v>8</v>
      </c>
      <c r="J3" s="20">
        <v>3</v>
      </c>
      <c r="K3" s="16">
        <f t="shared" si="0"/>
        <v>0.375</v>
      </c>
      <c r="L3" s="17">
        <v>38</v>
      </c>
      <c r="M3" s="14" t="s">
        <v>30</v>
      </c>
      <c r="N3" s="14">
        <v>2026.6</v>
      </c>
      <c r="O3" s="19">
        <v>8</v>
      </c>
      <c r="P3" s="19"/>
      <c r="Q3" s="19"/>
      <c r="R3" s="19"/>
    </row>
    <row r="4" s="1" customFormat="1" ht="16.5" customHeight="1" spans="1:18">
      <c r="A4" s="14">
        <v>3</v>
      </c>
      <c r="B4" s="15" t="s">
        <v>18</v>
      </c>
      <c r="C4" s="15" t="s">
        <v>19</v>
      </c>
      <c r="D4" s="15" t="s">
        <v>31</v>
      </c>
      <c r="E4" s="15" t="s">
        <v>21</v>
      </c>
      <c r="F4" s="15" t="s">
        <v>32</v>
      </c>
      <c r="G4" s="20" t="s">
        <v>33</v>
      </c>
      <c r="H4" s="20" t="s">
        <v>29</v>
      </c>
      <c r="I4" s="20">
        <v>16</v>
      </c>
      <c r="J4" s="20">
        <v>13</v>
      </c>
      <c r="K4" s="28">
        <f t="shared" si="0"/>
        <v>0.8125</v>
      </c>
      <c r="L4" s="17">
        <v>38</v>
      </c>
      <c r="M4" s="14" t="s">
        <v>25</v>
      </c>
      <c r="N4" s="14">
        <v>2026.6</v>
      </c>
      <c r="O4" s="19">
        <v>13</v>
      </c>
      <c r="P4" s="19"/>
      <c r="Q4" s="19"/>
      <c r="R4" s="19"/>
    </row>
    <row r="5" s="1" customFormat="1" ht="16.5" customHeight="1" spans="1:18">
      <c r="A5" s="14">
        <v>4</v>
      </c>
      <c r="B5" s="15" t="s">
        <v>18</v>
      </c>
      <c r="C5" s="15" t="s">
        <v>19</v>
      </c>
      <c r="D5" s="22" t="s">
        <v>34</v>
      </c>
      <c r="E5" s="15" t="s">
        <v>35</v>
      </c>
      <c r="F5" s="29" t="s">
        <v>36</v>
      </c>
      <c r="G5" s="15" t="s">
        <v>33</v>
      </c>
      <c r="H5" s="15" t="s">
        <v>37</v>
      </c>
      <c r="I5" s="20">
        <v>14</v>
      </c>
      <c r="J5" s="20">
        <v>13</v>
      </c>
      <c r="K5" s="16">
        <f t="shared" si="0"/>
        <v>0.928571428571429</v>
      </c>
      <c r="L5" s="17">
        <v>38</v>
      </c>
      <c r="M5" s="14" t="s">
        <v>38</v>
      </c>
      <c r="N5" s="14">
        <v>2026.6</v>
      </c>
      <c r="O5" s="14">
        <v>14</v>
      </c>
      <c r="P5" s="19"/>
      <c r="Q5" s="19"/>
      <c r="R5" s="19"/>
    </row>
    <row r="6" s="1" customFormat="1" ht="16.5" customHeight="1" spans="1:18">
      <c r="A6" s="14">
        <v>5</v>
      </c>
      <c r="B6" s="15" t="s">
        <v>18</v>
      </c>
      <c r="C6" s="15" t="s">
        <v>19</v>
      </c>
      <c r="D6" s="15" t="s">
        <v>39</v>
      </c>
      <c r="E6" s="15" t="s">
        <v>40</v>
      </c>
      <c r="F6" s="15" t="s">
        <v>41</v>
      </c>
      <c r="G6" s="15" t="s">
        <v>33</v>
      </c>
      <c r="H6" s="15" t="s">
        <v>24</v>
      </c>
      <c r="I6" s="20">
        <v>14</v>
      </c>
      <c r="J6" s="20">
        <v>13</v>
      </c>
      <c r="K6" s="28">
        <f t="shared" si="0"/>
        <v>0.928571428571429</v>
      </c>
      <c r="L6" s="17">
        <v>38</v>
      </c>
      <c r="M6" s="14" t="s">
        <v>42</v>
      </c>
      <c r="N6" s="14">
        <v>2026.6</v>
      </c>
      <c r="O6" s="21">
        <v>14</v>
      </c>
      <c r="P6" s="19">
        <v>1</v>
      </c>
      <c r="Q6" s="19">
        <v>10</v>
      </c>
      <c r="R6" s="19" t="s">
        <v>43</v>
      </c>
    </row>
    <row r="7" s="1" customFormat="1" ht="16.5" customHeight="1" spans="1:18">
      <c r="A7" s="14">
        <v>6</v>
      </c>
      <c r="B7" s="15" t="s">
        <v>18</v>
      </c>
      <c r="C7" s="15" t="s">
        <v>19</v>
      </c>
      <c r="D7" s="15" t="s">
        <v>44</v>
      </c>
      <c r="E7" s="15" t="s">
        <v>45</v>
      </c>
      <c r="F7" s="15" t="s">
        <v>22</v>
      </c>
      <c r="G7" s="20" t="s">
        <v>23</v>
      </c>
      <c r="H7" s="15" t="s">
        <v>24</v>
      </c>
      <c r="I7" s="20">
        <v>15</v>
      </c>
      <c r="J7" s="20">
        <v>13</v>
      </c>
      <c r="K7" s="16">
        <f t="shared" si="0"/>
        <v>0.866666666666667</v>
      </c>
      <c r="L7" s="17">
        <v>38</v>
      </c>
      <c r="M7" s="14" t="s">
        <v>38</v>
      </c>
      <c r="N7" s="14">
        <v>2026.6</v>
      </c>
      <c r="O7" s="21">
        <v>13</v>
      </c>
      <c r="P7" s="19"/>
      <c r="Q7" s="19"/>
      <c r="R7" s="19"/>
    </row>
    <row r="8" s="1" customFormat="1" ht="16.5" customHeight="1" spans="1:18">
      <c r="A8" s="14">
        <v>7</v>
      </c>
      <c r="B8" s="15" t="s">
        <v>18</v>
      </c>
      <c r="C8" s="15" t="s">
        <v>19</v>
      </c>
      <c r="D8" s="27" t="s">
        <v>46</v>
      </c>
      <c r="E8" s="15" t="s">
        <v>47</v>
      </c>
      <c r="F8" s="15" t="s">
        <v>48</v>
      </c>
      <c r="G8" s="20" t="s">
        <v>23</v>
      </c>
      <c r="H8" s="15" t="s">
        <v>49</v>
      </c>
      <c r="I8" s="20">
        <v>10</v>
      </c>
      <c r="J8" s="20">
        <v>2</v>
      </c>
      <c r="K8" s="16">
        <f t="shared" si="0"/>
        <v>0.2</v>
      </c>
      <c r="L8" s="17">
        <v>38</v>
      </c>
      <c r="M8" s="14" t="s">
        <v>30</v>
      </c>
      <c r="N8" s="14">
        <v>2026.6</v>
      </c>
      <c r="O8" s="21">
        <v>7</v>
      </c>
      <c r="P8" s="19"/>
      <c r="Q8" s="19"/>
      <c r="R8" s="19"/>
    </row>
    <row r="9" s="1" customFormat="1" ht="16.5" customHeight="1" spans="1:18">
      <c r="A9" s="14">
        <v>8</v>
      </c>
      <c r="B9" s="15" t="s">
        <v>18</v>
      </c>
      <c r="C9" s="15" t="s">
        <v>19</v>
      </c>
      <c r="D9" s="15" t="s">
        <v>50</v>
      </c>
      <c r="E9" s="15" t="s">
        <v>51</v>
      </c>
      <c r="F9" s="15" t="s">
        <v>48</v>
      </c>
      <c r="G9" s="20" t="s">
        <v>23</v>
      </c>
      <c r="H9" s="15" t="s">
        <v>49</v>
      </c>
      <c r="I9" s="20">
        <v>15</v>
      </c>
      <c r="J9" s="20">
        <v>13</v>
      </c>
      <c r="K9" s="16">
        <f t="shared" si="0"/>
        <v>0.866666666666667</v>
      </c>
      <c r="L9" s="17">
        <v>38</v>
      </c>
      <c r="M9" s="14" t="s">
        <v>38</v>
      </c>
      <c r="N9" s="14">
        <v>2026.6</v>
      </c>
      <c r="O9" s="21">
        <v>14</v>
      </c>
      <c r="P9" s="14"/>
      <c r="Q9" s="19"/>
      <c r="R9" s="19"/>
    </row>
    <row r="10" s="1" customFormat="1" ht="16.5" customHeight="1" spans="1:18">
      <c r="A10" s="14">
        <v>9</v>
      </c>
      <c r="B10" s="15" t="s">
        <v>18</v>
      </c>
      <c r="C10" s="15" t="s">
        <v>19</v>
      </c>
      <c r="D10" s="15" t="s">
        <v>52</v>
      </c>
      <c r="E10" s="15" t="s">
        <v>53</v>
      </c>
      <c r="F10" s="15" t="s">
        <v>54</v>
      </c>
      <c r="G10" s="20" t="s">
        <v>23</v>
      </c>
      <c r="H10" s="15" t="s">
        <v>55</v>
      </c>
      <c r="I10" s="20">
        <v>13</v>
      </c>
      <c r="J10" s="20">
        <v>12</v>
      </c>
      <c r="K10" s="16">
        <f t="shared" si="0"/>
        <v>0.923076923076923</v>
      </c>
      <c r="L10" s="17">
        <v>38</v>
      </c>
      <c r="M10" s="14" t="s">
        <v>38</v>
      </c>
      <c r="N10" s="14">
        <v>2026.6</v>
      </c>
      <c r="O10" s="21">
        <v>13</v>
      </c>
      <c r="P10" s="19"/>
      <c r="Q10" s="19"/>
      <c r="R10" s="19"/>
    </row>
    <row r="11" s="1" customFormat="1" ht="16.5" customHeight="1" spans="1:18">
      <c r="A11" s="14">
        <v>10</v>
      </c>
      <c r="B11" s="15" t="s">
        <v>18</v>
      </c>
      <c r="C11" s="15" t="s">
        <v>19</v>
      </c>
      <c r="D11" s="15" t="s">
        <v>56</v>
      </c>
      <c r="E11" s="15" t="s">
        <v>47</v>
      </c>
      <c r="F11" s="15" t="s">
        <v>57</v>
      </c>
      <c r="G11" s="22" t="s">
        <v>58</v>
      </c>
      <c r="H11" s="15" t="s">
        <v>37</v>
      </c>
      <c r="I11" s="15">
        <v>12</v>
      </c>
      <c r="J11" s="15">
        <v>9</v>
      </c>
      <c r="K11" s="16">
        <f t="shared" si="0"/>
        <v>0.75</v>
      </c>
      <c r="L11" s="17">
        <v>38</v>
      </c>
      <c r="M11" s="14" t="s">
        <v>30</v>
      </c>
      <c r="N11" s="14">
        <v>2026.6</v>
      </c>
      <c r="O11" s="17">
        <v>10</v>
      </c>
      <c r="P11" s="19"/>
      <c r="Q11" s="19"/>
      <c r="R11" s="19"/>
    </row>
    <row r="12" s="1" customFormat="1" ht="16.5" customHeight="1" spans="1:18">
      <c r="A12" s="14">
        <v>11</v>
      </c>
      <c r="B12" s="15" t="s">
        <v>18</v>
      </c>
      <c r="C12" s="15" t="s">
        <v>19</v>
      </c>
      <c r="D12" s="15" t="s">
        <v>59</v>
      </c>
      <c r="E12" s="15" t="s">
        <v>60</v>
      </c>
      <c r="F12" s="15" t="s">
        <v>61</v>
      </c>
      <c r="G12" s="20" t="s">
        <v>23</v>
      </c>
      <c r="H12" s="15" t="s">
        <v>37</v>
      </c>
      <c r="I12" s="15">
        <v>15</v>
      </c>
      <c r="J12" s="15">
        <v>11</v>
      </c>
      <c r="K12" s="16">
        <f t="shared" si="0"/>
        <v>0.733333333333333</v>
      </c>
      <c r="L12" s="17">
        <v>38</v>
      </c>
      <c r="M12" s="14" t="s">
        <v>38</v>
      </c>
      <c r="N12" s="14">
        <v>2026.6</v>
      </c>
      <c r="O12" s="17">
        <v>11</v>
      </c>
      <c r="P12" s="19"/>
      <c r="Q12" s="19"/>
      <c r="R12" s="19"/>
    </row>
    <row r="13" s="1" customFormat="1" ht="16.5" customHeight="1" spans="1:18">
      <c r="A13" s="14">
        <v>12</v>
      </c>
      <c r="B13" s="15" t="s">
        <v>18</v>
      </c>
      <c r="C13" s="15" t="s">
        <v>19</v>
      </c>
      <c r="D13" s="15" t="s">
        <v>62</v>
      </c>
      <c r="E13" s="15" t="s">
        <v>53</v>
      </c>
      <c r="F13" s="15" t="s">
        <v>36</v>
      </c>
      <c r="G13" s="15" t="s">
        <v>23</v>
      </c>
      <c r="H13" s="15" t="s">
        <v>55</v>
      </c>
      <c r="I13" s="15">
        <v>15</v>
      </c>
      <c r="J13" s="15">
        <v>13</v>
      </c>
      <c r="K13" s="16">
        <f t="shared" si="0"/>
        <v>0.866666666666667</v>
      </c>
      <c r="L13" s="17">
        <v>38</v>
      </c>
      <c r="M13" s="14" t="s">
        <v>38</v>
      </c>
      <c r="N13" s="14">
        <v>2026.6</v>
      </c>
      <c r="O13" s="17">
        <v>14</v>
      </c>
      <c r="P13" s="19"/>
      <c r="Q13" s="19"/>
      <c r="R13" s="19"/>
    </row>
    <row r="14" s="1" customFormat="1" ht="16.5" customHeight="1" spans="1:18">
      <c r="A14" s="14">
        <v>13</v>
      </c>
      <c r="B14" s="15" t="s">
        <v>18</v>
      </c>
      <c r="C14" s="40" t="s">
        <v>63</v>
      </c>
      <c r="D14" s="40" t="s">
        <v>64</v>
      </c>
      <c r="E14" s="15" t="s">
        <v>60</v>
      </c>
      <c r="F14" s="15" t="s">
        <v>65</v>
      </c>
      <c r="G14" s="15" t="s">
        <v>23</v>
      </c>
      <c r="H14" s="15" t="s">
        <v>66</v>
      </c>
      <c r="I14" s="15">
        <v>14</v>
      </c>
      <c r="J14" s="15">
        <v>13</v>
      </c>
      <c r="K14" s="28">
        <f t="shared" si="0"/>
        <v>0.928571428571429</v>
      </c>
      <c r="L14" s="17">
        <v>18</v>
      </c>
      <c r="M14" s="14" t="s">
        <v>67</v>
      </c>
      <c r="N14" s="14">
        <v>2026.6</v>
      </c>
      <c r="O14" s="17">
        <v>14</v>
      </c>
      <c r="P14" s="19"/>
      <c r="Q14" s="19"/>
      <c r="R14" s="19"/>
    </row>
    <row r="15" s="2" customFormat="1" ht="31.2" spans="1:18">
      <c r="A15" s="14">
        <v>14</v>
      </c>
      <c r="B15" s="15" t="s">
        <v>18</v>
      </c>
      <c r="C15" s="15" t="s">
        <v>19</v>
      </c>
      <c r="D15" s="27" t="s">
        <v>68</v>
      </c>
      <c r="E15" s="15" t="s">
        <v>69</v>
      </c>
      <c r="F15" s="15" t="s">
        <v>70</v>
      </c>
      <c r="G15" s="23" t="s">
        <v>33</v>
      </c>
      <c r="H15" s="20" t="s">
        <v>71</v>
      </c>
      <c r="I15" s="20">
        <v>13</v>
      </c>
      <c r="J15" s="20">
        <v>0</v>
      </c>
      <c r="K15" s="16">
        <f t="shared" si="0"/>
        <v>0</v>
      </c>
      <c r="L15" s="17">
        <v>39</v>
      </c>
      <c r="M15" s="14" t="s">
        <v>72</v>
      </c>
      <c r="N15" s="14">
        <v>2026.6</v>
      </c>
      <c r="O15" s="19">
        <v>10</v>
      </c>
      <c r="P15" s="19"/>
      <c r="Q15" s="19"/>
      <c r="R15" s="19"/>
    </row>
    <row r="16" s="1" customFormat="1" ht="16.5" customHeight="1" spans="1:18">
      <c r="A16" s="32"/>
      <c r="B16" s="32"/>
      <c r="C16" s="33"/>
      <c r="D16" s="32"/>
      <c r="E16" s="32"/>
      <c r="F16" s="33"/>
      <c r="G16" s="33"/>
      <c r="H16" s="33">
        <v>2026.6</v>
      </c>
      <c r="I16" s="34">
        <v>188</v>
      </c>
      <c r="J16" s="34">
        <f>SUM(J2:J15)</f>
        <v>140</v>
      </c>
      <c r="K16" s="16">
        <f t="shared" si="0"/>
        <v>0.74468085106383</v>
      </c>
      <c r="L16" s="35"/>
      <c r="M16" s="36"/>
      <c r="N16" s="36"/>
      <c r="O16" s="36">
        <v>167</v>
      </c>
      <c r="P16" s="38"/>
      <c r="Q16" s="38"/>
      <c r="R16" s="38"/>
    </row>
    <row r="18" s="1" customFormat="1" ht="16.5" customHeight="1" spans="1:18">
      <c r="A18" s="14">
        <v>1</v>
      </c>
      <c r="B18" s="104" t="s">
        <v>73</v>
      </c>
      <c r="C18" s="105"/>
      <c r="D18" s="15" t="s">
        <v>20</v>
      </c>
      <c r="E18" s="15" t="s">
        <v>21</v>
      </c>
      <c r="F18" s="15" t="s">
        <v>22</v>
      </c>
      <c r="G18" s="20" t="s">
        <v>23</v>
      </c>
      <c r="H18" s="20" t="s">
        <v>24</v>
      </c>
      <c r="I18" s="20">
        <v>14</v>
      </c>
      <c r="J18" s="20">
        <v>12</v>
      </c>
      <c r="K18" s="28">
        <f t="shared" ref="K18:K27" si="1">J18/I18</f>
        <v>0.857142857142857</v>
      </c>
      <c r="L18" s="17">
        <v>38</v>
      </c>
      <c r="M18" s="14" t="s">
        <v>25</v>
      </c>
      <c r="N18" s="14">
        <v>2026.6</v>
      </c>
      <c r="O18" s="14">
        <v>14</v>
      </c>
      <c r="P18" s="19"/>
      <c r="Q18" s="19"/>
      <c r="R18" s="19"/>
    </row>
    <row r="19" s="1" customFormat="1" ht="16.5" customHeight="1" spans="1:18">
      <c r="A19" s="14">
        <v>2</v>
      </c>
      <c r="B19" s="106"/>
      <c r="C19" s="107"/>
      <c r="D19" s="27" t="s">
        <v>26</v>
      </c>
      <c r="E19" s="15" t="s">
        <v>27</v>
      </c>
      <c r="F19" s="15" t="s">
        <v>28</v>
      </c>
      <c r="G19" s="20" t="s">
        <v>23</v>
      </c>
      <c r="H19" s="20" t="s">
        <v>29</v>
      </c>
      <c r="I19" s="20">
        <v>8</v>
      </c>
      <c r="J19" s="20">
        <v>3</v>
      </c>
      <c r="K19" s="16">
        <f t="shared" si="1"/>
        <v>0.375</v>
      </c>
      <c r="L19" s="17">
        <v>38</v>
      </c>
      <c r="M19" s="14" t="s">
        <v>30</v>
      </c>
      <c r="N19" s="14">
        <v>2026.6</v>
      </c>
      <c r="O19" s="19">
        <v>8</v>
      </c>
      <c r="P19" s="19"/>
      <c r="Q19" s="19"/>
      <c r="R19" s="19"/>
    </row>
    <row r="20" s="1" customFormat="1" ht="16.5" customHeight="1" spans="1:18">
      <c r="A20" s="14">
        <v>3</v>
      </c>
      <c r="B20" s="106"/>
      <c r="C20" s="107"/>
      <c r="D20" s="15" t="s">
        <v>31</v>
      </c>
      <c r="E20" s="15" t="s">
        <v>21</v>
      </c>
      <c r="F20" s="15" t="s">
        <v>32</v>
      </c>
      <c r="G20" s="20" t="s">
        <v>33</v>
      </c>
      <c r="H20" s="20" t="s">
        <v>29</v>
      </c>
      <c r="I20" s="20">
        <v>16</v>
      </c>
      <c r="J20" s="20">
        <v>13</v>
      </c>
      <c r="K20" s="28">
        <f t="shared" si="1"/>
        <v>0.8125</v>
      </c>
      <c r="L20" s="17">
        <v>38</v>
      </c>
      <c r="M20" s="14" t="s">
        <v>25</v>
      </c>
      <c r="N20" s="14">
        <v>2026.6</v>
      </c>
      <c r="O20" s="19">
        <v>13</v>
      </c>
      <c r="P20" s="19"/>
      <c r="Q20" s="19"/>
      <c r="R20" s="19"/>
    </row>
    <row r="21" s="1" customFormat="1" ht="16.5" customHeight="1" spans="1:18">
      <c r="A21" s="14">
        <v>4</v>
      </c>
      <c r="B21" s="106"/>
      <c r="C21" s="107"/>
      <c r="D21" s="22" t="s">
        <v>34</v>
      </c>
      <c r="E21" s="15" t="s">
        <v>35</v>
      </c>
      <c r="F21" s="29" t="s">
        <v>36</v>
      </c>
      <c r="G21" s="15" t="s">
        <v>33</v>
      </c>
      <c r="H21" s="15" t="s">
        <v>37</v>
      </c>
      <c r="I21" s="20">
        <v>14</v>
      </c>
      <c r="J21" s="20">
        <v>13</v>
      </c>
      <c r="K21" s="16">
        <f t="shared" si="1"/>
        <v>0.928571428571429</v>
      </c>
      <c r="L21" s="17">
        <v>38</v>
      </c>
      <c r="M21" s="14" t="s">
        <v>38</v>
      </c>
      <c r="N21" s="14">
        <v>2026.6</v>
      </c>
      <c r="O21" s="14">
        <v>14</v>
      </c>
      <c r="P21" s="19"/>
      <c r="Q21" s="19"/>
      <c r="R21" s="19"/>
    </row>
    <row r="22" s="1" customFormat="1" ht="16.5" customHeight="1" spans="1:18">
      <c r="A22" s="14">
        <v>5</v>
      </c>
      <c r="B22" s="106"/>
      <c r="C22" s="107"/>
      <c r="D22" s="15" t="s">
        <v>39</v>
      </c>
      <c r="E22" s="15" t="s">
        <v>40</v>
      </c>
      <c r="F22" s="15" t="s">
        <v>41</v>
      </c>
      <c r="G22" s="15" t="s">
        <v>33</v>
      </c>
      <c r="H22" s="15" t="s">
        <v>24</v>
      </c>
      <c r="I22" s="20">
        <v>14</v>
      </c>
      <c r="J22" s="20">
        <v>13</v>
      </c>
      <c r="K22" s="28">
        <f t="shared" si="1"/>
        <v>0.928571428571429</v>
      </c>
      <c r="L22" s="17">
        <v>38</v>
      </c>
      <c r="M22" s="14" t="s">
        <v>42</v>
      </c>
      <c r="N22" s="14">
        <v>2026.6</v>
      </c>
      <c r="O22" s="21">
        <v>14</v>
      </c>
      <c r="P22" s="19">
        <v>1</v>
      </c>
      <c r="Q22" s="19">
        <v>10</v>
      </c>
      <c r="R22" s="19" t="s">
        <v>43</v>
      </c>
    </row>
    <row r="23" s="1" customFormat="1" ht="16.5" customHeight="1" spans="1:18">
      <c r="A23" s="14">
        <v>6</v>
      </c>
      <c r="B23" s="106"/>
      <c r="C23" s="107"/>
      <c r="D23" s="15" t="s">
        <v>44</v>
      </c>
      <c r="E23" s="15" t="s">
        <v>45</v>
      </c>
      <c r="F23" s="15" t="s">
        <v>22</v>
      </c>
      <c r="G23" s="20" t="s">
        <v>23</v>
      </c>
      <c r="H23" s="15" t="s">
        <v>24</v>
      </c>
      <c r="I23" s="20">
        <v>15</v>
      </c>
      <c r="J23" s="20">
        <v>13</v>
      </c>
      <c r="K23" s="16">
        <f t="shared" si="1"/>
        <v>0.866666666666667</v>
      </c>
      <c r="L23" s="17">
        <v>38</v>
      </c>
      <c r="M23" s="14" t="s">
        <v>38</v>
      </c>
      <c r="N23" s="14">
        <v>2026.6</v>
      </c>
      <c r="O23" s="21">
        <v>13</v>
      </c>
      <c r="P23" s="19"/>
      <c r="Q23" s="19"/>
      <c r="R23" s="19"/>
    </row>
    <row r="24" s="1" customFormat="1" ht="16.5" customHeight="1" spans="1:18">
      <c r="A24" s="14">
        <v>10</v>
      </c>
      <c r="B24" s="106"/>
      <c r="C24" s="107"/>
      <c r="D24" s="15" t="s">
        <v>56</v>
      </c>
      <c r="E24" s="15" t="s">
        <v>47</v>
      </c>
      <c r="F24" s="15" t="s">
        <v>57</v>
      </c>
      <c r="G24" s="22" t="s">
        <v>58</v>
      </c>
      <c r="H24" s="15" t="s">
        <v>37</v>
      </c>
      <c r="I24" s="15">
        <v>12</v>
      </c>
      <c r="J24" s="15">
        <v>9</v>
      </c>
      <c r="K24" s="16">
        <f t="shared" si="1"/>
        <v>0.75</v>
      </c>
      <c r="L24" s="17">
        <v>38</v>
      </c>
      <c r="M24" s="14" t="s">
        <v>30</v>
      </c>
      <c r="N24" s="14">
        <v>2026.6</v>
      </c>
      <c r="O24" s="17">
        <v>10</v>
      </c>
      <c r="P24" s="19"/>
      <c r="Q24" s="19"/>
      <c r="R24" s="19"/>
    </row>
    <row r="25" s="1" customFormat="1" ht="16.5" customHeight="1" spans="1:18">
      <c r="A25" s="14">
        <v>11</v>
      </c>
      <c r="B25" s="106"/>
      <c r="C25" s="107"/>
      <c r="D25" s="15" t="s">
        <v>59</v>
      </c>
      <c r="E25" s="15" t="s">
        <v>60</v>
      </c>
      <c r="F25" s="15" t="s">
        <v>61</v>
      </c>
      <c r="G25" s="20" t="s">
        <v>23</v>
      </c>
      <c r="H25" s="15" t="s">
        <v>37</v>
      </c>
      <c r="I25" s="15">
        <v>15</v>
      </c>
      <c r="J25" s="15">
        <v>11</v>
      </c>
      <c r="K25" s="16">
        <f t="shared" si="1"/>
        <v>0.733333333333333</v>
      </c>
      <c r="L25" s="17">
        <v>38</v>
      </c>
      <c r="M25" s="14" t="s">
        <v>38</v>
      </c>
      <c r="N25" s="14">
        <v>2026.6</v>
      </c>
      <c r="O25" s="17">
        <v>11</v>
      </c>
      <c r="P25" s="19"/>
      <c r="Q25" s="19"/>
      <c r="R25" s="19"/>
    </row>
    <row r="26" s="1" customFormat="1" ht="16.5" customHeight="1" spans="1:18">
      <c r="A26" s="14">
        <v>13</v>
      </c>
      <c r="B26" s="108"/>
      <c r="C26" s="109"/>
      <c r="D26" s="40" t="s">
        <v>64</v>
      </c>
      <c r="E26" s="15" t="s">
        <v>60</v>
      </c>
      <c r="F26" s="15" t="s">
        <v>65</v>
      </c>
      <c r="G26" s="15" t="s">
        <v>23</v>
      </c>
      <c r="H26" s="15" t="s">
        <v>66</v>
      </c>
      <c r="I26" s="15">
        <v>14</v>
      </c>
      <c r="J26" s="15">
        <v>13</v>
      </c>
      <c r="K26" s="28">
        <f t="shared" si="1"/>
        <v>0.928571428571429</v>
      </c>
      <c r="L26" s="17">
        <v>18</v>
      </c>
      <c r="M26" s="14" t="s">
        <v>67</v>
      </c>
      <c r="N26" s="14">
        <v>2026.6</v>
      </c>
      <c r="O26" s="17">
        <v>14</v>
      </c>
      <c r="P26" s="19"/>
      <c r="Q26" s="19"/>
      <c r="R26" s="19"/>
    </row>
    <row r="27" spans="1:18">
      <c r="I27">
        <f>SUM(I18:I26)</f>
        <v>122</v>
      </c>
      <c r="J27">
        <f>SUM(J18:J26)</f>
        <v>100</v>
      </c>
      <c r="K27" s="110">
        <f t="shared" si="1"/>
        <v>0.819672131147541</v>
      </c>
    </row>
    <row r="29" s="1" customFormat="1" ht="16.5" customHeight="1" spans="1:18">
      <c r="A29" s="14">
        <v>7</v>
      </c>
      <c r="B29" s="104" t="s">
        <v>74</v>
      </c>
      <c r="C29" s="105"/>
      <c r="D29" s="27" t="s">
        <v>46</v>
      </c>
      <c r="E29" s="15" t="s">
        <v>47</v>
      </c>
      <c r="F29" s="15" t="s">
        <v>48</v>
      </c>
      <c r="G29" s="20" t="s">
        <v>23</v>
      </c>
      <c r="H29" s="15" t="s">
        <v>49</v>
      </c>
      <c r="I29" s="20">
        <v>10</v>
      </c>
      <c r="J29" s="20">
        <v>2</v>
      </c>
      <c r="K29" s="16">
        <f t="shared" ref="K29:K33" si="2">J29/I29</f>
        <v>0.2</v>
      </c>
      <c r="L29" s="17">
        <v>38</v>
      </c>
      <c r="M29" s="14" t="s">
        <v>30</v>
      </c>
      <c r="N29" s="14">
        <v>2026.6</v>
      </c>
      <c r="O29" s="21">
        <v>7</v>
      </c>
      <c r="P29" s="19"/>
      <c r="Q29" s="19"/>
      <c r="R29" s="19"/>
    </row>
    <row r="30" s="1" customFormat="1" ht="16.5" customHeight="1" spans="1:18">
      <c r="A30" s="14">
        <v>8</v>
      </c>
      <c r="B30" s="106"/>
      <c r="C30" s="107"/>
      <c r="D30" s="15" t="s">
        <v>50</v>
      </c>
      <c r="E30" s="15" t="s">
        <v>51</v>
      </c>
      <c r="F30" s="15" t="s">
        <v>48</v>
      </c>
      <c r="G30" s="20" t="s">
        <v>23</v>
      </c>
      <c r="H30" s="15" t="s">
        <v>49</v>
      </c>
      <c r="I30" s="20">
        <v>15</v>
      </c>
      <c r="J30" s="20">
        <v>13</v>
      </c>
      <c r="K30" s="16">
        <f t="shared" si="2"/>
        <v>0.866666666666667</v>
      </c>
      <c r="L30" s="17">
        <v>38</v>
      </c>
      <c r="M30" s="14" t="s">
        <v>38</v>
      </c>
      <c r="N30" s="14">
        <v>2026.6</v>
      </c>
      <c r="O30" s="21">
        <v>14</v>
      </c>
      <c r="P30" s="14"/>
      <c r="Q30" s="19"/>
      <c r="R30" s="19"/>
    </row>
    <row r="31" s="1" customFormat="1" ht="16.5" customHeight="1" spans="1:18">
      <c r="A31" s="14">
        <v>9</v>
      </c>
      <c r="B31" s="106"/>
      <c r="C31" s="107"/>
      <c r="D31" s="15" t="s">
        <v>52</v>
      </c>
      <c r="E31" s="15" t="s">
        <v>53</v>
      </c>
      <c r="F31" s="15" t="s">
        <v>54</v>
      </c>
      <c r="G31" s="20" t="s">
        <v>23</v>
      </c>
      <c r="H31" s="15" t="s">
        <v>55</v>
      </c>
      <c r="I31" s="20">
        <v>13</v>
      </c>
      <c r="J31" s="20">
        <v>12</v>
      </c>
      <c r="K31" s="16">
        <f t="shared" si="2"/>
        <v>0.923076923076923</v>
      </c>
      <c r="L31" s="17">
        <v>38</v>
      </c>
      <c r="M31" s="14" t="s">
        <v>38</v>
      </c>
      <c r="N31" s="14">
        <v>2026.6</v>
      </c>
      <c r="O31" s="21">
        <v>13</v>
      </c>
      <c r="P31" s="19"/>
      <c r="Q31" s="19"/>
      <c r="R31" s="19"/>
    </row>
    <row r="32" s="1" customFormat="1" ht="16.5" customHeight="1" spans="1:18">
      <c r="A32" s="14">
        <v>12</v>
      </c>
      <c r="B32" s="108"/>
      <c r="C32" s="109"/>
      <c r="D32" s="15" t="s">
        <v>62</v>
      </c>
      <c r="E32" s="15" t="s">
        <v>53</v>
      </c>
      <c r="F32" s="15" t="s">
        <v>36</v>
      </c>
      <c r="G32" s="15" t="s">
        <v>23</v>
      </c>
      <c r="H32" s="15" t="s">
        <v>55</v>
      </c>
      <c r="I32" s="15">
        <v>15</v>
      </c>
      <c r="J32" s="15">
        <v>13</v>
      </c>
      <c r="K32" s="16">
        <f t="shared" si="2"/>
        <v>0.866666666666667</v>
      </c>
      <c r="L32" s="17">
        <v>38</v>
      </c>
      <c r="M32" s="14" t="s">
        <v>38</v>
      </c>
      <c r="N32" s="14">
        <v>2026.6</v>
      </c>
      <c r="O32" s="17">
        <v>14</v>
      </c>
      <c r="P32" s="19"/>
      <c r="Q32" s="19"/>
      <c r="R32" s="19"/>
    </row>
    <row r="33" spans="1:16">
      <c r="I33">
        <f>SUM(I29:I32)</f>
        <v>53</v>
      </c>
      <c r="J33">
        <f>SUM(J29:J32)</f>
        <v>40</v>
      </c>
      <c r="K33" s="110">
        <f t="shared" si="2"/>
        <v>0.754716981132076</v>
      </c>
    </row>
    <row r="34" ht="22.8" spans="1:16">
      <c r="A34" s="111" t="s">
        <v>75</v>
      </c>
      <c r="B34" s="111"/>
    </row>
    <row r="36" spans="1:16">
      <c r="A36" s="112" t="s">
        <v>76</v>
      </c>
      <c r="B36" s="112" t="s">
        <v>77</v>
      </c>
      <c r="C36" s="112" t="s">
        <v>78</v>
      </c>
      <c r="D36" s="112" t="s">
        <v>8</v>
      </c>
      <c r="E36" s="112" t="s">
        <v>14</v>
      </c>
      <c r="F36" s="112" t="s">
        <v>79</v>
      </c>
      <c r="G36" s="112" t="s">
        <v>9</v>
      </c>
      <c r="H36" s="112" t="s">
        <v>10</v>
      </c>
    </row>
    <row r="37" spans="1:16">
      <c r="A37" s="113">
        <v>5.8</v>
      </c>
      <c r="B37" s="114" t="s">
        <v>80</v>
      </c>
      <c r="C37" s="115">
        <v>38</v>
      </c>
      <c r="D37" s="115">
        <v>188</v>
      </c>
      <c r="E37" s="115">
        <v>167</v>
      </c>
      <c r="F37" s="116">
        <f>E37/D37</f>
        <v>0.888297872340426</v>
      </c>
      <c r="G37" s="115">
        <v>140</v>
      </c>
      <c r="H37" s="116">
        <f>G37/D37</f>
        <v>0.74468085106383</v>
      </c>
      <c r="I37" t="s">
        <v>81</v>
      </c>
      <c r="M37" t="s">
        <v>82</v>
      </c>
      <c r="N37" t="s">
        <v>83</v>
      </c>
      <c r="O37" t="s">
        <v>84</v>
      </c>
      <c r="P37" t="s">
        <v>85</v>
      </c>
    </row>
    <row r="38" spans="1:16">
      <c r="A38" s="117"/>
      <c r="B38" s="114" t="s">
        <v>86</v>
      </c>
      <c r="C38" s="115">
        <v>25</v>
      </c>
      <c r="D38" s="115">
        <v>321</v>
      </c>
      <c r="E38" s="115">
        <v>299</v>
      </c>
      <c r="F38" s="116">
        <f>E38/D38</f>
        <v>0.931464174454829</v>
      </c>
      <c r="G38" s="115">
        <v>30</v>
      </c>
      <c r="H38" s="116">
        <f>G38/D38</f>
        <v>0.0934579439252336</v>
      </c>
    </row>
    <row r="39" spans="1:16">
      <c r="A39" s="117"/>
      <c r="B39" s="114" t="s">
        <v>87</v>
      </c>
      <c r="C39" s="115">
        <v>18</v>
      </c>
      <c r="D39" s="115">
        <v>159</v>
      </c>
      <c r="E39" s="115">
        <v>155</v>
      </c>
      <c r="F39" s="116">
        <f>E39/D39</f>
        <v>0.974842767295597</v>
      </c>
      <c r="G39" s="115">
        <v>19</v>
      </c>
      <c r="H39" s="116">
        <f>G39/D39</f>
        <v>0.119496855345912</v>
      </c>
    </row>
    <row r="40" spans="1:16">
      <c r="A40" s="117"/>
      <c r="B40" s="114" t="s">
        <v>88</v>
      </c>
      <c r="C40" s="115">
        <v>5</v>
      </c>
      <c r="D40" s="115">
        <v>144</v>
      </c>
      <c r="E40" s="115">
        <v>144</v>
      </c>
      <c r="F40" s="116">
        <f>E40/D40</f>
        <v>1</v>
      </c>
      <c r="G40" s="115">
        <v>0</v>
      </c>
      <c r="H40" s="116">
        <f>G40/D40</f>
        <v>0</v>
      </c>
    </row>
    <row r="43" spans="1:16">
      <c r="A43" s="118" t="s">
        <v>76</v>
      </c>
      <c r="B43" s="119" t="s">
        <v>7</v>
      </c>
      <c r="C43" s="112" t="s">
        <v>8</v>
      </c>
      <c r="D43" s="112" t="s">
        <v>9</v>
      </c>
      <c r="E43" s="112" t="s">
        <v>10</v>
      </c>
    </row>
    <row r="44" spans="1:16">
      <c r="A44" s="120">
        <v>5.8</v>
      </c>
      <c r="B44" s="121" t="s">
        <v>89</v>
      </c>
      <c r="C44" s="100">
        <v>28</v>
      </c>
      <c r="D44" s="100">
        <v>25</v>
      </c>
      <c r="E44" s="122">
        <f t="shared" ref="E44:E49" si="3">D44/C44</f>
        <v>0.892857142857143</v>
      </c>
    </row>
    <row r="45" spans="1:16">
      <c r="A45" s="123"/>
      <c r="B45" s="121" t="s">
        <v>90</v>
      </c>
      <c r="C45" s="100">
        <v>25</v>
      </c>
      <c r="D45" s="100">
        <v>15</v>
      </c>
      <c r="E45" s="122">
        <f t="shared" si="3"/>
        <v>0.6</v>
      </c>
    </row>
    <row r="46" spans="1:16">
      <c r="A46" s="123"/>
      <c r="B46" s="121" t="s">
        <v>66</v>
      </c>
      <c r="C46" s="100">
        <v>14</v>
      </c>
      <c r="D46" s="100">
        <v>13</v>
      </c>
      <c r="E46" s="122">
        <f t="shared" si="3"/>
        <v>0.928571428571429</v>
      </c>
    </row>
    <row r="47" spans="1:16">
      <c r="A47" s="123"/>
      <c r="B47" s="121" t="s">
        <v>91</v>
      </c>
      <c r="C47" s="100">
        <v>41</v>
      </c>
      <c r="D47" s="100">
        <v>33</v>
      </c>
      <c r="E47" s="122">
        <f t="shared" si="3"/>
        <v>0.804878048780488</v>
      </c>
    </row>
    <row r="48" spans="1:16">
      <c r="A48" s="123"/>
      <c r="B48" s="121" t="s">
        <v>92</v>
      </c>
      <c r="C48" s="100">
        <v>29</v>
      </c>
      <c r="D48" s="100">
        <v>25</v>
      </c>
      <c r="E48" s="122">
        <f t="shared" si="3"/>
        <v>0.862068965517241</v>
      </c>
    </row>
    <row r="49" spans="1:18">
      <c r="A49" s="124"/>
      <c r="B49" s="121" t="s">
        <v>93</v>
      </c>
      <c r="C49" s="100">
        <v>24</v>
      </c>
      <c r="D49" s="100">
        <v>16</v>
      </c>
      <c r="E49" s="122">
        <f t="shared" si="3"/>
        <v>0.666666666666667</v>
      </c>
    </row>
    <row r="53" ht="22.8" spans="1:18">
      <c r="A53" s="111" t="s">
        <v>94</v>
      </c>
      <c r="B53" s="111"/>
    </row>
    <row r="54" spans="1:18">
      <c r="P54" t="s">
        <v>95</v>
      </c>
    </row>
    <row r="55" s="1" customFormat="1" ht="16.5" customHeight="1" spans="1:18">
      <c r="A55" s="14">
        <v>44</v>
      </c>
      <c r="B55" s="15" t="s">
        <v>18</v>
      </c>
      <c r="C55" s="15" t="s">
        <v>19</v>
      </c>
      <c r="D55" s="22" t="s">
        <v>96</v>
      </c>
      <c r="E55" s="15" t="s">
        <v>53</v>
      </c>
      <c r="F55" s="15" t="s">
        <v>97</v>
      </c>
      <c r="G55" s="23" t="s">
        <v>33</v>
      </c>
      <c r="H55" s="22" t="s">
        <v>98</v>
      </c>
      <c r="I55" s="23">
        <v>11</v>
      </c>
      <c r="J55" s="20">
        <v>0</v>
      </c>
      <c r="K55" s="16">
        <f t="shared" ref="K55:K58" si="4">J55/I55</f>
        <v>0</v>
      </c>
      <c r="L55" s="17">
        <v>18</v>
      </c>
      <c r="M55" s="14" t="s">
        <v>67</v>
      </c>
      <c r="N55" s="14">
        <v>2026.12</v>
      </c>
      <c r="O55" s="17">
        <v>10</v>
      </c>
      <c r="P55" s="125">
        <v>9</v>
      </c>
      <c r="Q55" s="19"/>
      <c r="R55" s="15"/>
    </row>
    <row r="56" s="1" customFormat="1" ht="16.5" customHeight="1" spans="1:18">
      <c r="A56" s="14">
        <v>48</v>
      </c>
      <c r="B56" s="15" t="s">
        <v>18</v>
      </c>
      <c r="C56" s="15" t="s">
        <v>19</v>
      </c>
      <c r="D56" s="22" t="s">
        <v>99</v>
      </c>
      <c r="E56" s="15" t="s">
        <v>100</v>
      </c>
      <c r="F56" s="15" t="s">
        <v>22</v>
      </c>
      <c r="G56" s="20" t="s">
        <v>58</v>
      </c>
      <c r="H56" s="22" t="s">
        <v>101</v>
      </c>
      <c r="I56" s="23">
        <v>10</v>
      </c>
      <c r="J56" s="20">
        <v>3</v>
      </c>
      <c r="K56" s="16">
        <f t="shared" si="4"/>
        <v>0.3</v>
      </c>
      <c r="L56" s="17">
        <v>18</v>
      </c>
      <c r="M56" s="14" t="s">
        <v>102</v>
      </c>
      <c r="N56" s="14">
        <v>2026.12</v>
      </c>
      <c r="O56" s="17">
        <v>10</v>
      </c>
      <c r="P56" s="125">
        <v>8</v>
      </c>
      <c r="Q56" s="19"/>
      <c r="R56" s="19"/>
    </row>
    <row r="57" s="1" customFormat="1" ht="16.5" customHeight="1" spans="1:18">
      <c r="A57" s="14">
        <v>49</v>
      </c>
      <c r="B57" s="15" t="s">
        <v>18</v>
      </c>
      <c r="C57" s="15" t="s">
        <v>19</v>
      </c>
      <c r="D57" s="22" t="s">
        <v>103</v>
      </c>
      <c r="E57" s="15" t="s">
        <v>104</v>
      </c>
      <c r="F57" s="15" t="s">
        <v>57</v>
      </c>
      <c r="G57" s="20" t="s">
        <v>23</v>
      </c>
      <c r="H57" s="22" t="s">
        <v>101</v>
      </c>
      <c r="I57" s="23">
        <v>9</v>
      </c>
      <c r="J57" s="20">
        <v>4</v>
      </c>
      <c r="K57" s="16">
        <f t="shared" si="4"/>
        <v>0.444444444444444</v>
      </c>
      <c r="L57" s="17">
        <v>17</v>
      </c>
      <c r="M57" s="14" t="s">
        <v>105</v>
      </c>
      <c r="N57" s="14">
        <v>2026.12</v>
      </c>
      <c r="O57" s="17">
        <v>9</v>
      </c>
      <c r="P57" s="125">
        <v>7</v>
      </c>
      <c r="Q57" s="19"/>
      <c r="R57" s="19"/>
    </row>
    <row r="58" s="1" customFormat="1" ht="16.5" customHeight="1" spans="1:18">
      <c r="A58" s="14">
        <v>51</v>
      </c>
      <c r="B58" s="15" t="s">
        <v>18</v>
      </c>
      <c r="C58" s="15" t="s">
        <v>19</v>
      </c>
      <c r="D58" s="15" t="s">
        <v>106</v>
      </c>
      <c r="E58" s="15" t="s">
        <v>107</v>
      </c>
      <c r="F58" s="15" t="s">
        <v>41</v>
      </c>
      <c r="G58" s="20" t="s">
        <v>58</v>
      </c>
      <c r="H58" s="20" t="s">
        <v>108</v>
      </c>
      <c r="I58" s="20">
        <v>14</v>
      </c>
      <c r="J58" s="20">
        <v>8</v>
      </c>
      <c r="K58" s="16">
        <f t="shared" si="4"/>
        <v>0.571428571428571</v>
      </c>
      <c r="L58" s="17">
        <v>18</v>
      </c>
      <c r="M58" s="14" t="s">
        <v>109</v>
      </c>
      <c r="N58" s="14">
        <v>2026.12</v>
      </c>
      <c r="O58" s="19">
        <v>13</v>
      </c>
      <c r="P58" s="125">
        <v>13</v>
      </c>
      <c r="Q58" s="19"/>
      <c r="R58" s="19"/>
    </row>
    <row r="61" ht="22.8" spans="1:18">
      <c r="A61" s="111" t="s">
        <v>110</v>
      </c>
      <c r="B61" s="111"/>
    </row>
    <row r="62" s="1" customFormat="1" ht="16.5" customHeight="1" spans="1:18">
      <c r="A62" s="126" t="s">
        <v>111</v>
      </c>
      <c r="B62" s="127" t="s">
        <v>112</v>
      </c>
      <c r="C62" s="128" t="s">
        <v>113</v>
      </c>
      <c r="D62" s="129" t="s">
        <v>114</v>
      </c>
      <c r="E62" s="130" t="s">
        <v>115</v>
      </c>
      <c r="F62" s="130" t="s">
        <v>116</v>
      </c>
      <c r="G62" s="129" t="s">
        <v>71</v>
      </c>
      <c r="H62" s="129" t="s">
        <v>70</v>
      </c>
      <c r="I62" s="129" t="s">
        <v>33</v>
      </c>
      <c r="J62" s="129" t="s">
        <v>117</v>
      </c>
      <c r="K62" s="131">
        <v>1796</v>
      </c>
      <c r="L62" s="132" t="s">
        <v>118</v>
      </c>
      <c r="M62" s="133" t="s">
        <v>119</v>
      </c>
    </row>
    <row r="63" s="1" customFormat="1" ht="16.5" customHeight="1" spans="1:18">
      <c r="A63" s="134"/>
      <c r="B63" s="127"/>
      <c r="C63" s="135" t="s">
        <v>120</v>
      </c>
      <c r="D63" s="131" t="s">
        <v>114</v>
      </c>
      <c r="E63" s="133" t="s">
        <v>121</v>
      </c>
      <c r="F63" s="133" t="s">
        <v>122</v>
      </c>
      <c r="G63" s="131" t="s">
        <v>71</v>
      </c>
      <c r="H63" s="131" t="s">
        <v>123</v>
      </c>
      <c r="I63" s="131" t="s">
        <v>33</v>
      </c>
      <c r="J63" s="131" t="s">
        <v>124</v>
      </c>
      <c r="K63" s="135">
        <v>3607</v>
      </c>
      <c r="L63" s="132" t="s">
        <v>125</v>
      </c>
      <c r="M63" s="133" t="s">
        <v>126</v>
      </c>
    </row>
    <row r="64" s="1" customFormat="1" ht="16.5" customHeight="1" spans="1:18">
      <c r="A64" s="134"/>
      <c r="B64" s="127"/>
      <c r="C64" s="136" t="s">
        <v>127</v>
      </c>
      <c r="D64" s="137" t="s">
        <v>114</v>
      </c>
      <c r="E64" s="138" t="s">
        <v>121</v>
      </c>
      <c r="F64" s="138" t="s">
        <v>46</v>
      </c>
      <c r="G64" s="137" t="s">
        <v>49</v>
      </c>
      <c r="H64" s="137" t="s">
        <v>48</v>
      </c>
      <c r="I64" s="137" t="s">
        <v>23</v>
      </c>
      <c r="J64" s="137" t="s">
        <v>128</v>
      </c>
      <c r="K64" s="129">
        <v>3892</v>
      </c>
      <c r="L64" s="139" t="s">
        <v>129</v>
      </c>
      <c r="M64" s="130" t="s">
        <v>130</v>
      </c>
    </row>
    <row r="65" s="1" customFormat="1" ht="16.5" customHeight="1" spans="1:13">
      <c r="A65" s="134"/>
      <c r="B65" s="127"/>
      <c r="C65" s="135" t="s">
        <v>131</v>
      </c>
      <c r="D65" s="131" t="s">
        <v>114</v>
      </c>
      <c r="E65" s="131" t="s">
        <v>132</v>
      </c>
      <c r="F65" s="131" t="s">
        <v>133</v>
      </c>
      <c r="G65" s="131" t="s">
        <v>108</v>
      </c>
      <c r="H65" s="131" t="s">
        <v>41</v>
      </c>
      <c r="I65" s="131" t="s">
        <v>58</v>
      </c>
      <c r="J65" s="131" t="s">
        <v>134</v>
      </c>
      <c r="K65" s="131">
        <v>7051</v>
      </c>
      <c r="L65" s="131" t="s">
        <v>135</v>
      </c>
      <c r="M65" s="131" t="s">
        <v>136</v>
      </c>
    </row>
    <row r="66" s="1" customFormat="1" ht="16.5" customHeight="1" spans="1:13">
      <c r="A66" s="134"/>
      <c r="B66" s="140" t="s">
        <v>137</v>
      </c>
      <c r="C66" s="128" t="s">
        <v>138</v>
      </c>
      <c r="D66" s="129" t="s">
        <v>114</v>
      </c>
      <c r="E66" s="129" t="s">
        <v>139</v>
      </c>
      <c r="F66" s="129" t="s">
        <v>140</v>
      </c>
      <c r="G66" s="129" t="s">
        <v>101</v>
      </c>
      <c r="H66" s="129" t="s">
        <v>123</v>
      </c>
      <c r="I66" s="129" t="s">
        <v>33</v>
      </c>
      <c r="J66" s="129" t="s">
        <v>141</v>
      </c>
      <c r="K66" s="129">
        <v>10897</v>
      </c>
      <c r="L66" s="129" t="s">
        <v>118</v>
      </c>
      <c r="M66" s="129" t="s">
        <v>142</v>
      </c>
    </row>
    <row r="67" s="1" customFormat="1" ht="16.5" customHeight="1" spans="1:13">
      <c r="A67" s="134"/>
      <c r="B67" s="141" t="s">
        <v>143</v>
      </c>
      <c r="C67" s="129" t="s">
        <v>144</v>
      </c>
      <c r="D67" s="129" t="s">
        <v>114</v>
      </c>
      <c r="E67" s="129" t="s">
        <v>145</v>
      </c>
      <c r="F67" s="129" t="s">
        <v>122</v>
      </c>
      <c r="G67" s="129" t="s">
        <v>71</v>
      </c>
      <c r="H67" s="129" t="s">
        <v>123</v>
      </c>
      <c r="I67" s="129" t="s">
        <v>33</v>
      </c>
      <c r="J67" s="129" t="s">
        <v>146</v>
      </c>
      <c r="K67" s="129">
        <v>11480</v>
      </c>
      <c r="L67" s="129" t="s">
        <v>147</v>
      </c>
      <c r="M67" s="129" t="s">
        <v>148</v>
      </c>
    </row>
    <row r="68" s="1" customFormat="1" ht="16.5" customHeight="1" spans="1:13">
      <c r="A68" s="142" t="s">
        <v>149</v>
      </c>
      <c r="B68" s="143" t="s">
        <v>150</v>
      </c>
      <c r="C68" s="144" t="s">
        <v>151</v>
      </c>
      <c r="D68" s="144" t="s">
        <v>114</v>
      </c>
      <c r="E68" s="145" t="s">
        <v>145</v>
      </c>
      <c r="F68" s="145" t="s">
        <v>122</v>
      </c>
      <c r="G68" s="144" t="s">
        <v>71</v>
      </c>
      <c r="H68" s="144" t="s">
        <v>123</v>
      </c>
      <c r="I68" s="144" t="s">
        <v>33</v>
      </c>
      <c r="J68" s="144" t="s">
        <v>128</v>
      </c>
      <c r="K68" s="144">
        <v>3651</v>
      </c>
      <c r="L68" s="146" t="s">
        <v>152</v>
      </c>
      <c r="M68" s="145" t="s">
        <v>153</v>
      </c>
    </row>
    <row r="69" s="1" customFormat="1" ht="16.5" customHeight="1" spans="1:13">
      <c r="A69" s="147"/>
      <c r="B69" s="148"/>
      <c r="C69" s="144" t="s">
        <v>154</v>
      </c>
      <c r="D69" s="144" t="s">
        <v>114</v>
      </c>
      <c r="E69" s="145" t="s">
        <v>155</v>
      </c>
      <c r="F69" s="145" t="s">
        <v>156</v>
      </c>
      <c r="G69" s="144" t="s">
        <v>37</v>
      </c>
      <c r="H69" s="144" t="s">
        <v>36</v>
      </c>
      <c r="I69" s="144" t="s">
        <v>33</v>
      </c>
      <c r="J69" s="144" t="s">
        <v>157</v>
      </c>
      <c r="K69" s="144">
        <v>6089</v>
      </c>
      <c r="L69" s="146" t="s">
        <v>152</v>
      </c>
      <c r="M69" s="145" t="s">
        <v>158</v>
      </c>
    </row>
    <row r="70" s="1" customFormat="1" ht="16.5" customHeight="1" spans="1:13">
      <c r="A70" s="149"/>
      <c r="B70" s="150"/>
      <c r="C70" s="144" t="s">
        <v>159</v>
      </c>
      <c r="D70" s="144" t="s">
        <v>114</v>
      </c>
      <c r="E70" s="146">
        <v>20264.18</v>
      </c>
      <c r="F70" s="145" t="s">
        <v>160</v>
      </c>
      <c r="G70" s="144" t="s">
        <v>71</v>
      </c>
      <c r="H70" s="144" t="s">
        <v>70</v>
      </c>
      <c r="I70" s="144" t="s">
        <v>58</v>
      </c>
      <c r="J70" s="144" t="s">
        <v>161</v>
      </c>
      <c r="K70" s="144">
        <v>11647</v>
      </c>
      <c r="L70" s="146" t="s">
        <v>162</v>
      </c>
      <c r="M70" s="145" t="s">
        <v>163</v>
      </c>
    </row>
    <row r="72" ht="17.4" spans="1:13">
      <c r="C72" s="128" t="s">
        <v>113</v>
      </c>
      <c r="D72" s="151" t="s">
        <v>71</v>
      </c>
      <c r="E72" s="129" t="s">
        <v>70</v>
      </c>
      <c r="F72" s="132" t="s">
        <v>125</v>
      </c>
      <c r="I72" s="152" t="s">
        <v>164</v>
      </c>
      <c r="J72" s="152"/>
    </row>
    <row r="73" ht="17.4" spans="1:13">
      <c r="C73" s="135" t="s">
        <v>120</v>
      </c>
      <c r="D73" s="133" t="s">
        <v>71</v>
      </c>
      <c r="E73" s="131" t="s">
        <v>123</v>
      </c>
      <c r="F73" s="132" t="s">
        <v>125</v>
      </c>
      <c r="I73" s="100" t="s">
        <v>125</v>
      </c>
      <c r="J73" s="100">
        <v>4</v>
      </c>
    </row>
    <row r="74" ht="17.4" spans="1:13">
      <c r="C74" s="136" t="s">
        <v>127</v>
      </c>
      <c r="D74" s="138" t="s">
        <v>49</v>
      </c>
      <c r="E74" s="137" t="s">
        <v>48</v>
      </c>
      <c r="F74" s="139" t="s">
        <v>129</v>
      </c>
      <c r="I74" s="100" t="s">
        <v>129</v>
      </c>
      <c r="J74" s="100">
        <v>2</v>
      </c>
    </row>
    <row r="75" ht="17.4" spans="1:13">
      <c r="C75" s="135" t="s">
        <v>131</v>
      </c>
      <c r="D75" s="131" t="s">
        <v>108</v>
      </c>
      <c r="E75" s="131" t="s">
        <v>41</v>
      </c>
      <c r="F75" s="139" t="s">
        <v>129</v>
      </c>
      <c r="I75" s="100" t="s">
        <v>165</v>
      </c>
      <c r="J75" s="100">
        <v>2</v>
      </c>
    </row>
    <row r="76" ht="17.4" spans="1:13">
      <c r="C76" s="128" t="s">
        <v>138</v>
      </c>
      <c r="D76" s="129" t="s">
        <v>101</v>
      </c>
      <c r="E76" s="129" t="s">
        <v>123</v>
      </c>
      <c r="F76" s="129" t="s">
        <v>165</v>
      </c>
      <c r="I76" s="100" t="s">
        <v>166</v>
      </c>
      <c r="J76" s="100">
        <v>1</v>
      </c>
    </row>
    <row r="77" ht="17.4" spans="1:13">
      <c r="C77" s="129" t="s">
        <v>144</v>
      </c>
      <c r="D77" s="129" t="s">
        <v>71</v>
      </c>
      <c r="E77" s="129" t="s">
        <v>123</v>
      </c>
      <c r="F77" s="132" t="s">
        <v>125</v>
      </c>
    </row>
    <row r="78" ht="17.4" spans="1:13">
      <c r="C78" s="144" t="s">
        <v>151</v>
      </c>
      <c r="D78" s="145" t="s">
        <v>71</v>
      </c>
      <c r="E78" s="144" t="s">
        <v>123</v>
      </c>
      <c r="F78" s="132" t="s">
        <v>125</v>
      </c>
    </row>
    <row r="79" ht="17.4" spans="1:13">
      <c r="C79" s="144" t="s">
        <v>154</v>
      </c>
      <c r="D79" s="145" t="s">
        <v>37</v>
      </c>
      <c r="E79" s="144" t="s">
        <v>36</v>
      </c>
      <c r="F79" s="146" t="s">
        <v>152</v>
      </c>
    </row>
    <row r="80" ht="17.4" spans="1:13">
      <c r="C80" s="144" t="s">
        <v>159</v>
      </c>
      <c r="D80" s="145" t="s">
        <v>71</v>
      </c>
      <c r="E80" s="144" t="s">
        <v>70</v>
      </c>
      <c r="F80" s="129" t="s">
        <v>165</v>
      </c>
    </row>
  </sheetData>
  <mergeCells count="11">
    <mergeCell ref="A34:B34"/>
    <mergeCell ref="A53:B53"/>
    <mergeCell ref="A61:B61"/>
    <mergeCell ref="I72:J72"/>
    <mergeCell ref="A37:A40"/>
    <mergeCell ref="A44:A49"/>
    <mergeCell ref="A62:A67"/>
    <mergeCell ref="A68:A70"/>
    <mergeCell ref="B68:B70"/>
    <mergeCell ref="B18:C26"/>
    <mergeCell ref="B29:C32"/>
  </mergeCells>
  <conditionalFormatting sqref="K26">
    <cfRule type="cellIs" dxfId="0" priority="4" operator="greaterThanOrEqual">
      <formula>0.8</formula>
    </cfRule>
  </conditionalFormatting>
  <conditionalFormatting sqref="K29">
    <cfRule type="cellIs" dxfId="0" priority="3" operator="greaterThanOrEqual">
      <formula>0.8</formula>
    </cfRule>
  </conditionalFormatting>
  <conditionalFormatting sqref="K32">
    <cfRule type="cellIs" dxfId="0" priority="1" operator="greaterThanOrEqual">
      <formula>0.8</formula>
    </cfRule>
  </conditionalFormatting>
  <conditionalFormatting sqref="K2:K15">
    <cfRule type="cellIs" dxfId="0" priority="7" operator="greaterThanOrEqual">
      <formula>0.8</formula>
    </cfRule>
  </conditionalFormatting>
  <conditionalFormatting sqref="K18:K23">
    <cfRule type="cellIs" dxfId="0" priority="6" operator="greaterThanOrEqual">
      <formula>0.8</formula>
    </cfRule>
  </conditionalFormatting>
  <conditionalFormatting sqref="K24:K25">
    <cfRule type="cellIs" dxfId="0" priority="5" operator="greaterThanOrEqual">
      <formula>0.8</formula>
    </cfRule>
  </conditionalFormatting>
  <conditionalFormatting sqref="K30:K31">
    <cfRule type="cellIs" dxfId="0" priority="2" operator="greaterThanOrEqual">
      <formula>0.8</formula>
    </cfRule>
  </conditionalFormatting>
  <dataValidations count="1">
    <dataValidation type="list" sqref="F72:F80 L62:L70">
      <formula1>"老师、班级、时间不合适,课程、作业难度过高,学习负担、压力过重,报名其他机构,身体健康问题,距离问题,效果问题,兴趣问题,对老师不满意,冻结转退费,转学、搬家,换师、拆班,升初中,资金问题,其他"</formula1>
    </dataValidation>
  </dataValidation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9" sqref="E9"/>
    </sheetView>
  </sheetViews>
  <sheetFormatPr defaultColWidth="8.72727272727273" defaultRowHeight="15.6" outlineLevelCol="7"/>
  <cols>
    <col min="2" max="2" width="38.9090909090909" customWidth="1"/>
    <col min="3" max="3" width="11.4545454545455" customWidth="1"/>
    <col min="5" max="5" width="26.1818181818182" customWidth="1"/>
    <col min="8" max="8" width="37.5454545454545" customWidth="1"/>
  </cols>
  <sheetData>
    <row r="1" spans="1:8">
      <c r="A1" s="97" t="s">
        <v>167</v>
      </c>
      <c r="B1" s="97"/>
      <c r="D1" s="98" t="s">
        <v>168</v>
      </c>
      <c r="E1" s="98"/>
      <c r="G1" s="99" t="s">
        <v>22</v>
      </c>
      <c r="H1" s="100" t="s">
        <v>169</v>
      </c>
    </row>
    <row r="2" ht="46.8" spans="1:8">
      <c r="A2" s="101" t="s">
        <v>170</v>
      </c>
      <c r="B2" s="102" t="s">
        <v>171</v>
      </c>
      <c r="D2" s="99" t="s">
        <v>36</v>
      </c>
      <c r="E2" s="102" t="s">
        <v>172</v>
      </c>
      <c r="G2" s="99" t="s">
        <v>36</v>
      </c>
      <c r="H2" s="100" t="s">
        <v>173</v>
      </c>
    </row>
    <row r="3" ht="62.4" spans="1:8">
      <c r="A3" s="101" t="s">
        <v>41</v>
      </c>
      <c r="B3" s="102" t="s">
        <v>174</v>
      </c>
      <c r="D3" s="99" t="s">
        <v>54</v>
      </c>
      <c r="E3" s="102" t="s">
        <v>175</v>
      </c>
      <c r="G3" s="99" t="s">
        <v>170</v>
      </c>
      <c r="H3" s="100" t="s">
        <v>176</v>
      </c>
    </row>
    <row r="4" ht="46.8" spans="1:8">
      <c r="A4" s="103" t="s">
        <v>57</v>
      </c>
      <c r="B4" s="102" t="s">
        <v>177</v>
      </c>
      <c r="D4" s="99" t="s">
        <v>48</v>
      </c>
      <c r="E4" s="102" t="s">
        <v>178</v>
      </c>
      <c r="G4" s="99" t="s">
        <v>179</v>
      </c>
      <c r="H4" s="100" t="s">
        <v>180</v>
      </c>
    </row>
    <row r="5" ht="46.8" spans="1:8">
      <c r="A5" s="103" t="s">
        <v>61</v>
      </c>
      <c r="B5" s="102" t="s">
        <v>181</v>
      </c>
      <c r="D5" s="99" t="s">
        <v>182</v>
      </c>
      <c r="E5" s="102" t="s">
        <v>183</v>
      </c>
      <c r="G5" s="99" t="s">
        <v>54</v>
      </c>
      <c r="H5" s="100" t="s">
        <v>173</v>
      </c>
    </row>
    <row r="6" ht="62.4" spans="1:8">
      <c r="A6" s="103" t="s">
        <v>22</v>
      </c>
      <c r="B6" s="102" t="s">
        <v>184</v>
      </c>
      <c r="D6" s="99" t="s">
        <v>179</v>
      </c>
      <c r="E6" s="102" t="s">
        <v>185</v>
      </c>
      <c r="G6" s="99" t="s">
        <v>186</v>
      </c>
      <c r="H6" s="100" t="s">
        <v>187</v>
      </c>
    </row>
    <row r="7" ht="46.8" spans="1:8">
      <c r="A7" s="103" t="s">
        <v>188</v>
      </c>
      <c r="B7" s="102" t="s">
        <v>189</v>
      </c>
      <c r="D7" s="99" t="s">
        <v>186</v>
      </c>
      <c r="E7" s="100" t="s">
        <v>190</v>
      </c>
      <c r="G7" s="99" t="s">
        <v>191</v>
      </c>
      <c r="H7" s="100" t="s">
        <v>192</v>
      </c>
    </row>
    <row r="8" ht="62.4" spans="1:8">
      <c r="A8" s="99" t="s">
        <v>97</v>
      </c>
      <c r="B8" s="102" t="s">
        <v>193</v>
      </c>
      <c r="G8" s="99" t="s">
        <v>48</v>
      </c>
      <c r="H8" s="100" t="s">
        <v>194</v>
      </c>
    </row>
    <row r="9" ht="31.2" spans="1:8">
      <c r="A9" s="99" t="s">
        <v>191</v>
      </c>
      <c r="B9" s="102" t="s">
        <v>195</v>
      </c>
      <c r="G9" s="99" t="s">
        <v>41</v>
      </c>
      <c r="H9" s="100" t="s">
        <v>196</v>
      </c>
    </row>
    <row r="10" ht="31.2" spans="1:8">
      <c r="A10" s="99" t="s">
        <v>123</v>
      </c>
      <c r="B10" s="102" t="s">
        <v>197</v>
      </c>
      <c r="G10" s="99" t="s">
        <v>97</v>
      </c>
      <c r="H10" s="100" t="s">
        <v>198</v>
      </c>
    </row>
    <row r="11" spans="1:8">
      <c r="G11" s="99" t="s">
        <v>123</v>
      </c>
      <c r="H11" s="100" t="s">
        <v>199</v>
      </c>
    </row>
    <row r="12" spans="1:8">
      <c r="G12" s="99" t="s">
        <v>182</v>
      </c>
      <c r="H12" s="100" t="s">
        <v>198</v>
      </c>
    </row>
    <row r="13" spans="1:8">
      <c r="G13" s="99" t="s">
        <v>57</v>
      </c>
      <c r="H13" s="100" t="s">
        <v>198</v>
      </c>
    </row>
    <row r="14" spans="1:8">
      <c r="G14" s="99" t="s">
        <v>61</v>
      </c>
      <c r="H14" s="100" t="s">
        <v>200</v>
      </c>
    </row>
    <row r="15" spans="1:8">
      <c r="G15" s="99" t="s">
        <v>188</v>
      </c>
      <c r="H15" s="100" t="s">
        <v>201</v>
      </c>
    </row>
  </sheetData>
  <mergeCells count="2">
    <mergeCell ref="A1:B1"/>
    <mergeCell ref="D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4"/>
  <sheetViews>
    <sheetView tabSelected="1" topLeftCell="A22" workbookViewId="0">
      <selection activeCell="B22" sqref="B22:E32"/>
    </sheetView>
  </sheetViews>
  <sheetFormatPr defaultColWidth="74.3333333333333" defaultRowHeight="14.4" customHeight="1"/>
  <cols>
    <col min="1" max="1" width="8.83333333333333" style="49" customWidth="1"/>
    <col min="2" max="2" width="22.8333333333333" style="49" customWidth="1"/>
    <col min="3" max="3" width="7.83333333333333" style="49" customWidth="1"/>
    <col min="4" max="4" width="44.2727272727273" style="49" customWidth="1"/>
    <col min="5" max="5" width="74.1666666666667" style="49" customWidth="1"/>
    <col min="6" max="6" width="10.8333333333333" style="49" customWidth="1"/>
    <col min="7" max="7" width="12.8333333333333" style="49" customWidth="1"/>
    <col min="8" max="8" width="17.5" style="49" customWidth="1"/>
    <col min="9" max="9" width="23.8333333333333" style="49" customWidth="1"/>
    <col min="10" max="10" width="10.1666666666667" style="49" customWidth="1"/>
    <col min="11" max="11" width="8.66666666666667" style="49" customWidth="1"/>
    <col min="12" max="12" width="6.16666666666667" style="49" customWidth="1"/>
    <col min="13" max="13" width="8.16666666666667" style="49" customWidth="1"/>
    <col min="14" max="14" width="5.16666666666667" style="49" customWidth="1"/>
    <col min="15" max="15" width="4.16666666666667" style="49" customWidth="1"/>
    <col min="16" max="16" width="8" style="49" customWidth="1"/>
    <col min="17" max="17" width="6.16666666666667" style="49" customWidth="1"/>
    <col min="18" max="18" width="10.1666666666667" style="49" customWidth="1"/>
    <col min="19" max="19" width="9.16666666666667" style="49" customWidth="1"/>
    <col min="20" max="20" width="4.66666666666667" style="49" customWidth="1"/>
    <col min="21" max="22" width="3.66666666666667" style="49" customWidth="1"/>
    <col min="23" max="23" width="7.5" style="49" customWidth="1"/>
    <col min="24" max="40" width="74.3333333333333" style="49" customWidth="1"/>
  </cols>
  <sheetData>
    <row r="1" s="49" customFormat="1" ht="15" customHeight="1" spans="1:40">
      <c r="A1" s="50" t="s">
        <v>202</v>
      </c>
      <c r="B1" s="50"/>
      <c r="C1" s="50"/>
      <c r="D1" s="50"/>
      <c r="E1" s="50"/>
      <c r="F1" s="50"/>
      <c r="G1" s="51"/>
      <c r="H1" s="51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</row>
    <row r="2" s="49" customFormat="1" ht="222" customHeight="1" spans="1:40">
      <c r="A2" s="53" t="s">
        <v>203</v>
      </c>
      <c r="B2" s="53"/>
      <c r="C2" s="53"/>
      <c r="D2" s="53"/>
      <c r="E2" s="54"/>
      <c r="F2" s="54"/>
      <c r="G2" s="55" t="s">
        <v>204</v>
      </c>
      <c r="H2" s="55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</row>
    <row r="3" s="49" customFormat="1" customHeight="1" spans="1:40">
      <c r="A3" s="56" t="s">
        <v>205</v>
      </c>
      <c r="B3" s="56"/>
      <c r="C3" s="56"/>
      <c r="D3" s="56"/>
      <c r="E3" s="56"/>
      <c r="F3" s="56"/>
      <c r="G3" s="56"/>
      <c r="H3" s="56"/>
    </row>
    <row r="4" s="49" customFormat="1" ht="15" customHeight="1" spans="1:40">
      <c r="A4" s="57" t="s">
        <v>206</v>
      </c>
      <c r="B4" s="58" t="s">
        <v>207</v>
      </c>
      <c r="C4" s="59" t="s">
        <v>208</v>
      </c>
      <c r="D4" s="60" t="s">
        <v>209</v>
      </c>
      <c r="E4" s="58" t="s">
        <v>210</v>
      </c>
      <c r="F4" s="61"/>
      <c r="G4" s="62" t="s">
        <v>211</v>
      </c>
      <c r="H4" s="62" t="s">
        <v>212</v>
      </c>
    </row>
    <row r="5" s="49" customFormat="1" ht="60" spans="1:40">
      <c r="A5" s="63" t="s">
        <v>213</v>
      </c>
      <c r="B5" s="64" t="s">
        <v>214</v>
      </c>
      <c r="C5" s="65">
        <v>0.2</v>
      </c>
      <c r="D5" s="64" t="s">
        <v>215</v>
      </c>
      <c r="E5" s="66" t="s">
        <v>216</v>
      </c>
      <c r="F5" s="67"/>
      <c r="G5" s="62"/>
      <c r="H5" s="68"/>
      <c r="I5" s="69"/>
    </row>
    <row r="6" s="49" customFormat="1" ht="36" customHeight="1" spans="1:40">
      <c r="A6" s="63"/>
      <c r="B6" s="64"/>
      <c r="C6" s="65"/>
      <c r="D6" s="70" t="s">
        <v>217</v>
      </c>
      <c r="E6" s="71" t="s">
        <v>218</v>
      </c>
      <c r="F6" s="72"/>
      <c r="G6" s="62"/>
      <c r="H6" s="68"/>
    </row>
    <row r="7" s="49" customFormat="1" ht="36" customHeight="1" spans="1:40">
      <c r="A7" s="63"/>
      <c r="B7" s="64"/>
      <c r="C7" s="65"/>
      <c r="D7" s="70" t="s">
        <v>219</v>
      </c>
      <c r="E7" s="71" t="s">
        <v>220</v>
      </c>
      <c r="F7" s="72"/>
      <c r="G7" s="62"/>
      <c r="H7" s="68"/>
    </row>
    <row r="8" s="49" customFormat="1" ht="36" customHeight="1" spans="1:40">
      <c r="A8" s="63"/>
      <c r="B8" s="64"/>
      <c r="C8" s="65"/>
      <c r="D8" s="70" t="s">
        <v>221</v>
      </c>
      <c r="E8" s="71" t="s">
        <v>222</v>
      </c>
      <c r="F8" s="72"/>
      <c r="G8" s="62"/>
      <c r="H8" s="68"/>
    </row>
    <row r="9" s="49" customFormat="1" ht="76.5" customHeight="1" spans="1:40">
      <c r="A9" s="73" t="s">
        <v>223</v>
      </c>
      <c r="B9" s="63" t="s">
        <v>224</v>
      </c>
      <c r="C9" s="65">
        <v>0.2</v>
      </c>
      <c r="D9" s="74" t="s">
        <v>225</v>
      </c>
      <c r="E9" s="75" t="s">
        <v>226</v>
      </c>
      <c r="F9" s="76"/>
      <c r="G9" s="77"/>
      <c r="H9" s="78"/>
    </row>
    <row r="10" s="49" customFormat="1" ht="45" customHeight="1" spans="1:40">
      <c r="A10" s="79"/>
      <c r="B10" s="80"/>
      <c r="C10" s="65"/>
      <c r="D10" s="81" t="s">
        <v>227</v>
      </c>
      <c r="E10" s="82" t="s">
        <v>228</v>
      </c>
      <c r="F10" s="83"/>
      <c r="G10" s="77"/>
      <c r="H10" s="78"/>
    </row>
    <row r="11" s="49" customFormat="1" ht="112" customHeight="1" spans="1:40">
      <c r="A11" s="63" t="s">
        <v>229</v>
      </c>
      <c r="B11" s="63" t="s">
        <v>230</v>
      </c>
      <c r="C11" s="65">
        <v>0.2</v>
      </c>
      <c r="D11" s="74" t="s">
        <v>231</v>
      </c>
      <c r="E11" s="84" t="s">
        <v>232</v>
      </c>
      <c r="F11" s="75"/>
      <c r="G11" s="62"/>
      <c r="H11" s="78"/>
    </row>
    <row r="12" s="49" customFormat="1" ht="60" customHeight="1" spans="1:40">
      <c r="A12" s="63"/>
      <c r="B12" s="63"/>
      <c r="C12" s="65"/>
      <c r="D12" s="60"/>
      <c r="E12" s="60"/>
      <c r="F12" s="67"/>
      <c r="G12" s="62"/>
      <c r="H12" s="78"/>
      <c r="I12" s="69"/>
    </row>
    <row r="13" s="49" customFormat="1" ht="37.5" customHeight="1" spans="1:40">
      <c r="A13" s="63"/>
      <c r="B13" s="63"/>
      <c r="C13" s="65"/>
      <c r="D13" s="64"/>
      <c r="E13" s="64"/>
      <c r="F13" s="61"/>
      <c r="G13" s="62"/>
      <c r="H13" s="78"/>
    </row>
    <row r="14" s="49" customFormat="1" ht="30" customHeight="1" spans="1:40">
      <c r="A14" s="63"/>
      <c r="B14" s="63"/>
      <c r="C14" s="65"/>
      <c r="D14" s="59"/>
      <c r="E14" s="53"/>
      <c r="F14" s="85"/>
      <c r="G14" s="62"/>
      <c r="H14" s="78"/>
    </row>
    <row r="15" s="49" customFormat="1" ht="28.8" customHeight="1" spans="1:40">
      <c r="A15" s="63"/>
      <c r="B15" s="63"/>
      <c r="C15" s="65"/>
      <c r="D15" s="76"/>
      <c r="E15" s="70"/>
      <c r="F15" s="86"/>
      <c r="G15" s="62"/>
      <c r="H15" s="78"/>
    </row>
    <row r="16" s="49" customFormat="1" ht="15" customHeight="1" spans="1:40">
      <c r="A16" s="63"/>
      <c r="B16" s="63"/>
      <c r="C16" s="65"/>
      <c r="D16" s="87"/>
      <c r="E16" s="69"/>
      <c r="F16" s="53"/>
      <c r="G16" s="77"/>
      <c r="H16" s="78"/>
    </row>
    <row r="17" s="49" customFormat="1" customHeight="1" spans="1:8">
      <c r="A17" s="63"/>
      <c r="B17" s="63"/>
      <c r="C17" s="65"/>
      <c r="D17" s="88"/>
      <c r="E17" s="53"/>
      <c r="F17" s="89"/>
      <c r="G17" s="62"/>
      <c r="H17" s="62"/>
    </row>
    <row r="18" s="49" customFormat="1" ht="15" customHeight="1" spans="1:8">
      <c r="A18" s="63"/>
      <c r="B18" s="63"/>
      <c r="C18" s="90"/>
      <c r="D18" s="88"/>
      <c r="E18" s="53"/>
      <c r="F18" s="89"/>
      <c r="G18" s="62"/>
      <c r="H18" s="62"/>
    </row>
    <row r="19" s="49" customFormat="1" ht="15" customHeight="1" spans="1:8">
      <c r="A19" s="53" t="s">
        <v>233</v>
      </c>
      <c r="B19" s="59" t="s">
        <v>234</v>
      </c>
      <c r="C19" s="91">
        <v>0.2</v>
      </c>
      <c r="D19" s="50" t="s">
        <v>235</v>
      </c>
      <c r="E19" s="50"/>
      <c r="F19" s="85"/>
      <c r="G19" s="62"/>
      <c r="H19" s="62"/>
    </row>
    <row r="20" s="49" customFormat="1" ht="15.6" customHeight="1" spans="1:8">
      <c r="A20" s="92"/>
      <c r="B20" s="92"/>
      <c r="C20" s="93"/>
      <c r="D20" s="92"/>
      <c r="E20" s="92"/>
      <c r="F20" s="94"/>
    </row>
    <row r="21" s="49" customFormat="1" ht="15.6" customHeight="1" spans="1:8">
      <c r="A21" s="92"/>
      <c r="B21" s="92"/>
      <c r="C21" s="93"/>
      <c r="D21" s="92"/>
      <c r="E21" s="92"/>
      <c r="F21" s="94"/>
    </row>
    <row r="22" s="49" customFormat="1" ht="15.6" customHeight="1" spans="1:8">
      <c r="A22" s="92"/>
      <c r="B22" s="95" t="s">
        <v>236</v>
      </c>
      <c r="C22" s="96"/>
      <c r="D22" s="96"/>
      <c r="E22" s="96"/>
      <c r="F22" s="94"/>
    </row>
    <row r="23" s="49" customFormat="1" ht="15.6" customHeight="1" spans="1:8">
      <c r="A23" s="92"/>
      <c r="B23" s="96"/>
      <c r="C23" s="96"/>
      <c r="D23" s="96"/>
      <c r="E23" s="96"/>
      <c r="F23" s="94"/>
    </row>
    <row r="24" s="49" customFormat="1" ht="15.6" customHeight="1" spans="1:8">
      <c r="A24" s="92"/>
      <c r="B24" s="96"/>
      <c r="C24" s="96"/>
      <c r="D24" s="96"/>
      <c r="E24" s="96"/>
      <c r="F24" s="94"/>
    </row>
    <row r="25" s="49" customFormat="1" ht="15.6" customHeight="1" spans="1:8">
      <c r="A25" s="92"/>
      <c r="B25" s="96"/>
      <c r="C25" s="96"/>
      <c r="D25" s="96"/>
      <c r="E25" s="96"/>
      <c r="F25" s="94"/>
    </row>
    <row r="26" s="49" customFormat="1" ht="15.6" customHeight="1" spans="1:8">
      <c r="A26" s="92"/>
      <c r="B26" s="96"/>
      <c r="C26" s="96"/>
      <c r="D26" s="96"/>
      <c r="E26" s="96"/>
      <c r="F26" s="94"/>
    </row>
    <row r="27" s="49" customFormat="1" ht="15.6" customHeight="1" spans="1:8">
      <c r="A27" s="92"/>
      <c r="B27" s="96"/>
      <c r="C27" s="96"/>
      <c r="D27" s="96"/>
      <c r="E27" s="96"/>
      <c r="F27" s="94"/>
    </row>
    <row r="28" s="49" customFormat="1" ht="15.6" customHeight="1" spans="1:8">
      <c r="A28" s="92"/>
      <c r="B28" s="96"/>
      <c r="C28" s="96"/>
      <c r="D28" s="96"/>
      <c r="E28" s="96"/>
      <c r="F28" s="94"/>
    </row>
    <row r="29" s="49" customFormat="1" ht="15.6" customHeight="1" spans="1:8">
      <c r="A29" s="92"/>
      <c r="B29" s="96"/>
      <c r="C29" s="96"/>
      <c r="D29" s="96"/>
      <c r="E29" s="96"/>
      <c r="F29" s="94"/>
    </row>
    <row r="30" s="49" customFormat="1" ht="15.6" customHeight="1" spans="1:8">
      <c r="A30" s="92"/>
      <c r="B30" s="96"/>
      <c r="C30" s="96"/>
      <c r="D30" s="96"/>
      <c r="E30" s="96"/>
      <c r="F30" s="94"/>
    </row>
    <row r="31" s="49" customFormat="1" ht="15.6" customHeight="1" spans="1:8">
      <c r="A31" s="92"/>
      <c r="B31" s="96"/>
      <c r="C31" s="96"/>
      <c r="D31" s="96"/>
      <c r="E31" s="96"/>
      <c r="F31" s="94"/>
    </row>
    <row r="32" s="49" customFormat="1" ht="187" customHeight="1" spans="1:8">
      <c r="A32" s="92"/>
      <c r="B32" s="96"/>
      <c r="C32" s="96"/>
      <c r="D32" s="96"/>
      <c r="E32" s="96"/>
      <c r="F32" s="94"/>
    </row>
    <row r="33" s="49" customFormat="1" ht="15.6" customHeight="1" spans="1:6">
      <c r="A33" s="92"/>
      <c r="B33" s="92"/>
      <c r="C33" s="93"/>
      <c r="D33" s="92"/>
      <c r="E33" s="92"/>
      <c r="F33" s="94"/>
    </row>
    <row r="34" s="49" customFormat="1" ht="15.6" customHeight="1" spans="1:6">
      <c r="A34" s="92"/>
      <c r="B34" s="92"/>
      <c r="C34" s="93"/>
      <c r="D34" s="92"/>
      <c r="E34" s="92"/>
      <c r="F34" s="94"/>
    </row>
    <row r="35" s="49" customFormat="1" ht="15.6" customHeight="1" spans="1:6">
      <c r="A35" s="92"/>
      <c r="B35" s="92"/>
      <c r="C35" s="93"/>
      <c r="D35" s="92"/>
      <c r="E35" s="92"/>
      <c r="F35" s="94"/>
    </row>
    <row r="36" s="49" customFormat="1" ht="15.6" customHeight="1" spans="1:6">
      <c r="A36" s="92"/>
      <c r="B36" s="92"/>
      <c r="C36" s="93"/>
      <c r="D36" s="92"/>
      <c r="E36" s="92"/>
      <c r="F36" s="94"/>
    </row>
    <row r="37" s="49" customFormat="1" ht="15.6" customHeight="1" spans="1:6">
      <c r="A37" s="92"/>
      <c r="B37" s="92"/>
      <c r="C37" s="93"/>
      <c r="D37" s="92"/>
      <c r="E37" s="92"/>
      <c r="F37" s="94"/>
    </row>
    <row r="38" s="49" customFormat="1" ht="15.6" customHeight="1" spans="1:6">
      <c r="A38" s="92"/>
      <c r="B38" s="92"/>
      <c r="C38" s="93"/>
      <c r="D38" s="92"/>
      <c r="E38" s="92"/>
      <c r="F38" s="94"/>
    </row>
    <row r="39" s="49" customFormat="1" ht="15.6" customHeight="1" spans="1:6">
      <c r="A39" s="92"/>
      <c r="B39" s="92"/>
      <c r="C39" s="93"/>
      <c r="D39" s="92"/>
      <c r="E39" s="92"/>
      <c r="F39" s="94"/>
    </row>
    <row r="40" s="49" customFormat="1" ht="15.6" customHeight="1" spans="1:6">
      <c r="A40" s="92"/>
      <c r="B40" s="92"/>
      <c r="C40" s="93"/>
      <c r="D40" s="92"/>
      <c r="E40" s="92"/>
      <c r="F40" s="94"/>
    </row>
    <row r="41" s="49" customFormat="1" ht="15.6" customHeight="1" spans="1:6">
      <c r="A41" s="92"/>
      <c r="B41" s="92"/>
      <c r="C41" s="93"/>
      <c r="D41" s="92"/>
      <c r="E41" s="92"/>
      <c r="F41" s="94"/>
    </row>
    <row r="42" s="49" customFormat="1" ht="15.6" customHeight="1" spans="1:6">
      <c r="A42" s="92"/>
      <c r="B42" s="92"/>
      <c r="C42" s="93"/>
      <c r="D42" s="92"/>
      <c r="E42" s="92"/>
      <c r="F42" s="94"/>
    </row>
    <row r="43" s="49" customFormat="1" ht="15.6" customHeight="1" spans="1:6">
      <c r="A43" s="92"/>
      <c r="B43" s="92"/>
      <c r="C43" s="93"/>
      <c r="D43" s="92"/>
      <c r="E43" s="92"/>
      <c r="F43" s="94"/>
    </row>
    <row r="44" s="49" customFormat="1" ht="15.6" customHeight="1" spans="1:6">
      <c r="A44" s="92"/>
      <c r="B44" s="92"/>
      <c r="C44" s="93"/>
      <c r="D44" s="92"/>
      <c r="E44" s="92"/>
      <c r="F44" s="94"/>
    </row>
    <row r="45" s="49" customFormat="1" ht="15.6" customHeight="1" spans="1:6">
      <c r="A45" s="92"/>
      <c r="B45" s="92"/>
      <c r="C45" s="93"/>
      <c r="D45" s="92"/>
      <c r="E45" s="92"/>
      <c r="F45" s="94"/>
    </row>
    <row r="46" s="49" customFormat="1" ht="15.6" customHeight="1" spans="1:6">
      <c r="A46" s="92"/>
      <c r="B46" s="92"/>
      <c r="C46" s="93"/>
      <c r="D46" s="92"/>
      <c r="E46" s="92"/>
      <c r="F46" s="94"/>
    </row>
    <row r="47" s="49" customFormat="1" ht="15.6" customHeight="1" spans="1:6">
      <c r="A47" s="92"/>
      <c r="B47" s="92"/>
      <c r="C47" s="93"/>
      <c r="D47" s="92"/>
      <c r="E47" s="92"/>
      <c r="F47" s="94"/>
    </row>
    <row r="48" s="49" customFormat="1" ht="15.6" customHeight="1" spans="1:6">
      <c r="A48" s="92"/>
      <c r="B48" s="92"/>
      <c r="C48" s="93"/>
      <c r="D48" s="92"/>
      <c r="E48" s="92"/>
      <c r="F48" s="94"/>
    </row>
    <row r="49" s="49" customFormat="1" ht="15.6" customHeight="1" spans="1:6">
      <c r="A49" s="92"/>
      <c r="B49" s="92"/>
      <c r="C49" s="93"/>
      <c r="D49" s="92"/>
      <c r="E49" s="92"/>
      <c r="F49" s="94"/>
    </row>
    <row r="50" s="49" customFormat="1" ht="15.6" customHeight="1" spans="1:6">
      <c r="A50" s="92"/>
      <c r="B50" s="92"/>
      <c r="C50" s="93"/>
      <c r="D50" s="92"/>
      <c r="E50" s="92"/>
      <c r="F50" s="94"/>
    </row>
    <row r="51" s="49" customFormat="1" ht="15.6" customHeight="1" spans="1:6">
      <c r="A51" s="92"/>
      <c r="B51" s="92"/>
      <c r="C51" s="93"/>
      <c r="D51" s="92"/>
      <c r="E51" s="92"/>
      <c r="F51" s="94"/>
    </row>
    <row r="52" s="49" customFormat="1" ht="15.6" customHeight="1" spans="1:6">
      <c r="A52" s="92"/>
      <c r="B52" s="92"/>
      <c r="C52" s="93"/>
      <c r="D52" s="92"/>
      <c r="E52" s="92"/>
      <c r="F52" s="94"/>
    </row>
    <row r="53" s="49" customFormat="1" ht="15.6" customHeight="1" spans="1:6">
      <c r="A53" s="92"/>
      <c r="B53" s="92"/>
      <c r="C53" s="93"/>
      <c r="D53" s="92"/>
      <c r="E53" s="92"/>
      <c r="F53" s="94"/>
    </row>
    <row r="54" s="49" customFormat="1" ht="15.6" customHeight="1" spans="1:6">
      <c r="A54" s="92"/>
      <c r="B54" s="92"/>
      <c r="C54" s="93"/>
      <c r="D54" s="92"/>
      <c r="E54" s="92"/>
      <c r="F54" s="94"/>
    </row>
    <row r="55" s="49" customFormat="1" ht="15.6" customHeight="1" spans="1:6">
      <c r="A55" s="92"/>
      <c r="B55" s="92"/>
      <c r="C55" s="93"/>
      <c r="D55" s="92"/>
      <c r="E55" s="92"/>
      <c r="F55" s="94"/>
    </row>
    <row r="56" s="49" customFormat="1" ht="15.6" customHeight="1" spans="1:6">
      <c r="A56" s="92"/>
      <c r="B56" s="92"/>
      <c r="C56" s="93"/>
      <c r="D56" s="92"/>
      <c r="E56" s="92"/>
      <c r="F56" s="94"/>
    </row>
    <row r="57" s="49" customFormat="1" ht="15.6" customHeight="1" spans="1:6">
      <c r="A57" s="92"/>
      <c r="B57" s="92"/>
      <c r="C57" s="93"/>
      <c r="D57" s="92"/>
      <c r="E57" s="92"/>
      <c r="F57" s="94"/>
    </row>
    <row r="58" s="49" customFormat="1" ht="15.6" customHeight="1" spans="1:6">
      <c r="A58" s="92"/>
      <c r="B58" s="92"/>
      <c r="C58" s="93"/>
      <c r="D58" s="92"/>
      <c r="E58" s="92"/>
      <c r="F58" s="94"/>
    </row>
    <row r="59" s="49" customFormat="1" ht="15.6" customHeight="1" spans="1:6">
      <c r="A59" s="92"/>
      <c r="B59" s="92"/>
      <c r="C59" s="93"/>
      <c r="D59" s="92"/>
      <c r="E59" s="92"/>
      <c r="F59" s="94"/>
    </row>
    <row r="60" s="49" customFormat="1" ht="15.6" customHeight="1" spans="1:6">
      <c r="A60" s="92"/>
      <c r="B60" s="92"/>
      <c r="C60" s="93"/>
      <c r="D60" s="92"/>
      <c r="E60" s="92"/>
      <c r="F60" s="94"/>
    </row>
    <row r="61" s="49" customFormat="1" ht="15.6" customHeight="1" spans="1:6">
      <c r="A61" s="92"/>
      <c r="B61" s="92"/>
      <c r="C61" s="93"/>
      <c r="D61" s="92"/>
      <c r="E61" s="92"/>
      <c r="F61" s="94"/>
    </row>
    <row r="62" s="49" customFormat="1" ht="15.6" customHeight="1" spans="1:6">
      <c r="A62" s="92"/>
      <c r="B62" s="92"/>
      <c r="C62" s="93"/>
      <c r="D62" s="92"/>
      <c r="E62" s="92"/>
      <c r="F62" s="94"/>
    </row>
    <row r="63" s="49" customFormat="1" ht="15.6" customHeight="1" spans="1:6">
      <c r="A63" s="92"/>
      <c r="B63" s="92"/>
      <c r="C63" s="93"/>
      <c r="D63" s="92"/>
      <c r="E63" s="92"/>
      <c r="F63" s="94"/>
    </row>
    <row r="64" s="49" customFormat="1" ht="15.6" customHeight="1" spans="1:6">
      <c r="A64" s="92"/>
      <c r="B64" s="92"/>
      <c r="C64" s="93"/>
      <c r="D64" s="92"/>
      <c r="E64" s="92"/>
      <c r="F64" s="94"/>
    </row>
    <row r="65" s="49" customFormat="1" ht="15.6" customHeight="1" spans="1:6">
      <c r="A65" s="92"/>
      <c r="B65" s="92"/>
      <c r="C65" s="93"/>
      <c r="D65" s="92"/>
      <c r="E65" s="92"/>
      <c r="F65" s="94"/>
    </row>
    <row r="66" s="49" customFormat="1" ht="15.6" customHeight="1" spans="1:6">
      <c r="A66" s="92"/>
      <c r="B66" s="92"/>
      <c r="C66" s="93"/>
      <c r="D66" s="92"/>
      <c r="E66" s="92"/>
      <c r="F66" s="94"/>
    </row>
    <row r="67" s="49" customFormat="1" ht="15.6" customHeight="1" spans="1:6">
      <c r="A67" s="92"/>
      <c r="B67" s="92"/>
      <c r="C67" s="93"/>
      <c r="D67" s="92"/>
      <c r="E67" s="92"/>
      <c r="F67" s="94"/>
    </row>
    <row r="68" s="49" customFormat="1" ht="15.6" customHeight="1" spans="1:6">
      <c r="A68" s="92"/>
      <c r="B68" s="92"/>
      <c r="C68" s="93"/>
      <c r="D68" s="92"/>
      <c r="E68" s="92"/>
      <c r="F68" s="94"/>
    </row>
    <row r="69" s="49" customFormat="1" ht="15.6" customHeight="1" spans="1:6">
      <c r="A69" s="92"/>
      <c r="B69" s="92"/>
      <c r="C69" s="93"/>
      <c r="D69" s="92"/>
      <c r="E69" s="92"/>
      <c r="F69" s="94"/>
    </row>
    <row r="70" s="49" customFormat="1" ht="15.6" customHeight="1" spans="1:6">
      <c r="A70" s="92"/>
      <c r="B70" s="92"/>
      <c r="C70" s="93"/>
      <c r="D70" s="92"/>
      <c r="E70" s="92"/>
      <c r="F70" s="94"/>
    </row>
    <row r="71" s="49" customFormat="1" ht="15.6" customHeight="1" spans="1:6">
      <c r="A71" s="92"/>
      <c r="B71" s="92"/>
      <c r="C71" s="93"/>
      <c r="D71" s="92"/>
      <c r="E71" s="92"/>
      <c r="F71" s="94"/>
    </row>
    <row r="72" s="49" customFormat="1" ht="15.6" customHeight="1" spans="1:6">
      <c r="A72" s="92"/>
      <c r="B72" s="92"/>
      <c r="C72" s="93"/>
      <c r="D72" s="92"/>
      <c r="E72" s="92"/>
      <c r="F72" s="94"/>
    </row>
    <row r="73" s="49" customFormat="1" ht="15.6" customHeight="1" spans="1:6">
      <c r="A73" s="92"/>
      <c r="B73" s="92"/>
      <c r="C73" s="93"/>
      <c r="D73" s="92"/>
      <c r="E73" s="92"/>
      <c r="F73" s="94"/>
    </row>
    <row r="74" s="49" customFormat="1" ht="15.6" customHeight="1" spans="1:6">
      <c r="A74" s="92"/>
      <c r="B74" s="92"/>
      <c r="C74" s="93"/>
      <c r="D74" s="92"/>
      <c r="E74" s="92"/>
      <c r="F74" s="94"/>
    </row>
    <row r="75" s="49" customFormat="1" ht="15.6" customHeight="1" spans="1:6">
      <c r="A75" s="92"/>
      <c r="B75" s="92"/>
      <c r="C75" s="93"/>
      <c r="D75" s="92"/>
      <c r="E75" s="92"/>
      <c r="F75" s="94"/>
    </row>
    <row r="76" s="49" customFormat="1" ht="15.6" customHeight="1" spans="1:6">
      <c r="A76" s="92"/>
      <c r="B76" s="92"/>
      <c r="C76" s="93"/>
      <c r="D76" s="92"/>
      <c r="E76" s="92"/>
      <c r="F76" s="94"/>
    </row>
    <row r="77" s="49" customFormat="1" ht="15.6" customHeight="1" spans="1:6">
      <c r="A77" s="92"/>
      <c r="B77" s="92"/>
      <c r="C77" s="93"/>
      <c r="D77" s="92"/>
      <c r="E77" s="92"/>
      <c r="F77" s="94"/>
    </row>
    <row r="78" s="49" customFormat="1" ht="15.6" customHeight="1" spans="1:6">
      <c r="A78" s="92"/>
      <c r="B78" s="92"/>
      <c r="C78" s="93"/>
      <c r="D78" s="92"/>
      <c r="E78" s="92"/>
      <c r="F78" s="94"/>
    </row>
    <row r="79" s="49" customFormat="1" ht="15.6" customHeight="1" spans="1:6">
      <c r="A79" s="92"/>
      <c r="B79" s="92"/>
      <c r="C79" s="93"/>
      <c r="D79" s="92"/>
      <c r="E79" s="92"/>
      <c r="F79" s="94"/>
    </row>
    <row r="80" s="49" customFormat="1" ht="15.6" customHeight="1" spans="1:6">
      <c r="A80" s="92"/>
      <c r="B80" s="92"/>
      <c r="C80" s="93"/>
      <c r="D80" s="92"/>
      <c r="E80" s="92"/>
      <c r="F80" s="94"/>
    </row>
    <row r="81" s="49" customFormat="1" ht="15.6" customHeight="1" spans="1:6">
      <c r="A81" s="92"/>
      <c r="B81" s="92"/>
      <c r="C81" s="93"/>
      <c r="D81" s="92"/>
      <c r="E81" s="92"/>
      <c r="F81" s="94"/>
    </row>
    <row r="82" s="49" customFormat="1" ht="15.6" customHeight="1" spans="1:6">
      <c r="A82" s="92"/>
      <c r="B82" s="92"/>
      <c r="C82" s="93"/>
      <c r="D82" s="92"/>
      <c r="E82" s="92"/>
      <c r="F82" s="94"/>
    </row>
    <row r="83" s="49" customFormat="1" ht="15.6" customHeight="1" spans="1:6">
      <c r="A83" s="92"/>
      <c r="B83" s="92"/>
      <c r="C83" s="93"/>
      <c r="D83" s="92"/>
      <c r="E83" s="92"/>
      <c r="F83" s="94"/>
    </row>
    <row r="84" s="49" customFormat="1" ht="15.6" customHeight="1" spans="1:6">
      <c r="A84" s="92"/>
      <c r="B84" s="92"/>
      <c r="C84" s="93"/>
      <c r="D84" s="92"/>
      <c r="E84" s="92"/>
      <c r="F84" s="94"/>
    </row>
    <row r="85" s="49" customFormat="1" ht="15.6" customHeight="1" spans="1:6">
      <c r="A85" s="92"/>
      <c r="B85" s="92"/>
      <c r="C85" s="93"/>
      <c r="D85" s="92"/>
      <c r="E85" s="92"/>
      <c r="F85" s="94"/>
    </row>
    <row r="86" s="49" customFormat="1" ht="15.6" customHeight="1" spans="1:6">
      <c r="A86" s="92"/>
      <c r="B86" s="92"/>
      <c r="C86" s="93"/>
      <c r="D86" s="92"/>
      <c r="E86" s="92"/>
      <c r="F86" s="94"/>
    </row>
    <row r="87" s="49" customFormat="1" ht="15.6" customHeight="1" spans="1:6">
      <c r="A87" s="92"/>
      <c r="B87" s="92"/>
      <c r="C87" s="93"/>
      <c r="D87" s="92"/>
      <c r="E87" s="92"/>
      <c r="F87" s="94"/>
    </row>
    <row r="88" s="49" customFormat="1" ht="15.6" customHeight="1" spans="1:6">
      <c r="A88" s="92"/>
      <c r="B88" s="92"/>
      <c r="C88" s="93"/>
      <c r="D88" s="92"/>
      <c r="E88" s="92"/>
      <c r="F88" s="94"/>
    </row>
    <row r="89" s="49" customFormat="1" ht="15.6" customHeight="1" spans="1:6">
      <c r="A89" s="92"/>
      <c r="B89" s="92"/>
      <c r="C89" s="93"/>
      <c r="D89" s="92"/>
      <c r="E89" s="92"/>
      <c r="F89" s="94"/>
    </row>
    <row r="90" s="49" customFormat="1" ht="15.6" customHeight="1" spans="1:6">
      <c r="A90" s="92"/>
      <c r="B90" s="92"/>
      <c r="C90" s="93"/>
      <c r="D90" s="92"/>
      <c r="E90" s="92"/>
      <c r="F90" s="94"/>
    </row>
    <row r="91" s="49" customFormat="1" ht="15.6" customHeight="1" spans="1:6">
      <c r="A91" s="92"/>
      <c r="B91" s="92"/>
      <c r="C91" s="93"/>
      <c r="D91" s="92"/>
      <c r="E91" s="92"/>
      <c r="F91" s="94"/>
    </row>
    <row r="92" s="49" customFormat="1" ht="15.6" customHeight="1" spans="1:6">
      <c r="A92" s="92"/>
      <c r="B92" s="92"/>
      <c r="C92" s="93"/>
      <c r="D92" s="92"/>
      <c r="E92" s="92"/>
      <c r="F92" s="94"/>
    </row>
    <row r="93" s="49" customFormat="1" ht="15.6" customHeight="1" spans="1:6">
      <c r="A93" s="92"/>
      <c r="B93" s="92"/>
      <c r="C93" s="93"/>
      <c r="D93" s="92"/>
      <c r="E93" s="92"/>
      <c r="F93" s="94"/>
    </row>
    <row r="94" s="49" customFormat="1" ht="15.6" customHeight="1" spans="1:6">
      <c r="A94" s="92"/>
      <c r="B94" s="92"/>
      <c r="C94" s="93"/>
      <c r="D94" s="92"/>
      <c r="E94" s="92"/>
      <c r="F94" s="94"/>
    </row>
    <row r="95" s="49" customFormat="1" ht="15.6" customHeight="1" spans="1:6">
      <c r="A95" s="92"/>
      <c r="B95" s="92"/>
      <c r="C95" s="93"/>
      <c r="D95" s="92"/>
      <c r="E95" s="92"/>
      <c r="F95" s="94"/>
    </row>
    <row r="96" s="49" customFormat="1" ht="15.6" customHeight="1" spans="1:6">
      <c r="A96" s="92"/>
      <c r="B96" s="92"/>
      <c r="C96" s="93"/>
      <c r="D96" s="92"/>
      <c r="E96" s="92"/>
      <c r="F96" s="94"/>
    </row>
    <row r="97" s="49" customFormat="1" ht="15.6" customHeight="1" spans="1:6">
      <c r="A97" s="92"/>
      <c r="B97" s="92"/>
      <c r="C97" s="93"/>
      <c r="D97" s="92"/>
      <c r="E97" s="92"/>
      <c r="F97" s="94"/>
    </row>
    <row r="98" s="49" customFormat="1" ht="15.6" customHeight="1" spans="1:6">
      <c r="A98" s="92"/>
      <c r="B98" s="92"/>
      <c r="C98" s="93"/>
      <c r="D98" s="92"/>
      <c r="E98" s="92"/>
      <c r="F98" s="94"/>
    </row>
    <row r="99" s="49" customFormat="1" ht="15.6" customHeight="1" spans="1:6">
      <c r="A99" s="92"/>
      <c r="B99" s="92"/>
      <c r="C99" s="93"/>
      <c r="D99" s="92"/>
      <c r="E99" s="92"/>
      <c r="F99" s="94"/>
    </row>
    <row r="100" s="49" customFormat="1" ht="15.6" customHeight="1" spans="1:6">
      <c r="A100" s="92"/>
      <c r="B100" s="92"/>
      <c r="C100" s="93"/>
      <c r="D100" s="92"/>
      <c r="E100" s="92"/>
      <c r="F100" s="94"/>
    </row>
    <row r="101" s="49" customFormat="1" ht="15.6" customHeight="1" spans="1:6">
      <c r="A101" s="92"/>
      <c r="B101" s="92"/>
      <c r="C101" s="93"/>
      <c r="D101" s="92"/>
      <c r="E101" s="92"/>
      <c r="F101" s="94"/>
    </row>
    <row r="102" s="49" customFormat="1" ht="15.6" customHeight="1" spans="1:6">
      <c r="A102" s="92"/>
      <c r="B102" s="92"/>
      <c r="C102" s="93"/>
      <c r="D102" s="92"/>
      <c r="E102" s="92"/>
      <c r="F102" s="94"/>
    </row>
    <row r="103" s="49" customFormat="1" ht="15.6" customHeight="1" spans="1:6">
      <c r="A103" s="92"/>
      <c r="B103" s="92"/>
      <c r="C103" s="93"/>
      <c r="D103" s="92"/>
      <c r="E103" s="92"/>
      <c r="F103" s="94"/>
    </row>
    <row r="104" s="49" customFormat="1" ht="15.6" customHeight="1" spans="1:6">
      <c r="A104" s="92"/>
      <c r="B104" s="92"/>
      <c r="C104" s="93"/>
      <c r="D104" s="92"/>
      <c r="E104" s="92"/>
      <c r="F104" s="94"/>
    </row>
    <row r="105" s="49" customFormat="1" ht="15.6" customHeight="1" spans="1:6">
      <c r="A105" s="92"/>
      <c r="B105" s="92"/>
      <c r="C105" s="93"/>
      <c r="D105" s="92"/>
      <c r="E105" s="92"/>
      <c r="F105" s="94"/>
    </row>
    <row r="106" s="49" customFormat="1" ht="15.6" customHeight="1" spans="1:6">
      <c r="A106" s="92"/>
      <c r="B106" s="92"/>
      <c r="C106" s="93"/>
      <c r="D106" s="92"/>
      <c r="E106" s="92"/>
      <c r="F106" s="94"/>
    </row>
    <row r="107" s="49" customFormat="1" ht="15.6" customHeight="1" spans="1:6">
      <c r="A107" s="92"/>
      <c r="B107" s="92"/>
      <c r="C107" s="93"/>
      <c r="D107" s="92"/>
      <c r="E107" s="92"/>
      <c r="F107" s="94"/>
    </row>
    <row r="108" s="49" customFormat="1" ht="15.6" customHeight="1" spans="1:6">
      <c r="A108" s="92"/>
      <c r="B108" s="92"/>
      <c r="C108" s="93"/>
      <c r="D108" s="92"/>
      <c r="E108" s="92"/>
      <c r="F108" s="94"/>
    </row>
    <row r="109" s="49" customFormat="1" ht="15.6" customHeight="1" spans="1:6">
      <c r="A109" s="92"/>
      <c r="B109" s="92"/>
      <c r="C109" s="93"/>
      <c r="D109" s="92"/>
      <c r="E109" s="92"/>
      <c r="F109" s="94"/>
    </row>
    <row r="110" s="49" customFormat="1" ht="15.6" customHeight="1" spans="1:6">
      <c r="A110" s="92"/>
      <c r="B110" s="92"/>
      <c r="C110" s="93"/>
      <c r="D110" s="92"/>
      <c r="E110" s="92"/>
      <c r="F110" s="94"/>
    </row>
    <row r="111" s="49" customFormat="1" ht="15.6" customHeight="1" spans="1:6">
      <c r="A111" s="92"/>
      <c r="B111" s="92"/>
      <c r="C111" s="93"/>
      <c r="D111" s="92"/>
      <c r="E111" s="92"/>
      <c r="F111" s="94"/>
    </row>
    <row r="112" s="49" customFormat="1" ht="15.6" customHeight="1" spans="1:6">
      <c r="A112" s="92"/>
      <c r="B112" s="92"/>
      <c r="C112" s="93"/>
      <c r="D112" s="92"/>
      <c r="E112" s="92"/>
      <c r="F112" s="94"/>
    </row>
    <row r="113" s="49" customFormat="1" ht="15.6" customHeight="1" spans="1:6">
      <c r="A113" s="92"/>
      <c r="B113" s="92"/>
      <c r="C113" s="93"/>
      <c r="D113" s="92"/>
      <c r="E113" s="92"/>
      <c r="F113" s="94"/>
    </row>
    <row r="114" s="49" customFormat="1" ht="15.6" customHeight="1" spans="1:6">
      <c r="A114" s="92"/>
      <c r="B114" s="92"/>
      <c r="C114" s="93"/>
      <c r="D114" s="92"/>
      <c r="E114" s="92"/>
      <c r="F114" s="94"/>
    </row>
    <row r="115" s="49" customFormat="1" ht="15.6" customHeight="1" spans="1:6">
      <c r="A115" s="92"/>
      <c r="B115" s="92"/>
      <c r="C115" s="93"/>
      <c r="D115" s="92"/>
      <c r="E115" s="92"/>
      <c r="F115" s="94"/>
    </row>
    <row r="116" s="49" customFormat="1" ht="15.6" customHeight="1" spans="1:6">
      <c r="A116" s="92"/>
      <c r="B116" s="92"/>
      <c r="C116" s="93"/>
      <c r="D116" s="92"/>
      <c r="E116" s="92"/>
      <c r="F116" s="94"/>
    </row>
    <row r="117" s="49" customFormat="1" ht="15.6" customHeight="1" spans="1:6">
      <c r="A117" s="92"/>
      <c r="B117" s="92"/>
      <c r="C117" s="93"/>
      <c r="D117" s="92"/>
      <c r="E117" s="92"/>
      <c r="F117" s="94"/>
    </row>
    <row r="118" s="49" customFormat="1" ht="15.6" customHeight="1" spans="1:6">
      <c r="A118" s="92"/>
      <c r="B118" s="92"/>
      <c r="C118" s="93"/>
      <c r="D118" s="92"/>
      <c r="E118" s="92"/>
      <c r="F118" s="94"/>
    </row>
    <row r="119" s="49" customFormat="1" ht="15.6" customHeight="1" spans="1:6">
      <c r="A119" s="92"/>
      <c r="B119" s="92"/>
      <c r="C119" s="93"/>
      <c r="D119" s="92"/>
      <c r="E119" s="92"/>
      <c r="F119" s="94"/>
    </row>
    <row r="120" s="49" customFormat="1" ht="15.6" customHeight="1" spans="1:6">
      <c r="A120" s="92"/>
      <c r="B120" s="92"/>
      <c r="C120" s="93"/>
      <c r="D120" s="92"/>
      <c r="E120" s="92"/>
      <c r="F120" s="94"/>
    </row>
    <row r="121" s="49" customFormat="1" ht="15.6" customHeight="1" spans="1:6">
      <c r="A121" s="92"/>
      <c r="B121" s="92"/>
      <c r="C121" s="93"/>
      <c r="D121" s="92"/>
      <c r="E121" s="92"/>
      <c r="F121" s="94"/>
    </row>
    <row r="122" s="49" customFormat="1" ht="15.6" customHeight="1" spans="1:6">
      <c r="A122" s="92"/>
      <c r="B122" s="92"/>
      <c r="C122" s="93"/>
      <c r="D122" s="92"/>
      <c r="E122" s="92"/>
      <c r="F122" s="94"/>
    </row>
    <row r="123" s="49" customFormat="1" ht="15.6" customHeight="1" spans="1:6">
      <c r="A123" s="92"/>
      <c r="B123" s="92"/>
      <c r="C123" s="93"/>
      <c r="D123" s="92"/>
      <c r="E123" s="92"/>
      <c r="F123" s="94"/>
    </row>
    <row r="124" s="49" customFormat="1" ht="15.6" customHeight="1" spans="1:6">
      <c r="A124" s="92"/>
      <c r="B124" s="92"/>
      <c r="C124" s="93"/>
      <c r="D124" s="92"/>
      <c r="E124" s="92"/>
      <c r="F124" s="94"/>
    </row>
    <row r="125" s="49" customFormat="1" ht="15.6" customHeight="1" spans="1:6">
      <c r="A125" s="92"/>
      <c r="B125" s="92"/>
      <c r="C125" s="93"/>
      <c r="D125" s="92"/>
      <c r="E125" s="92"/>
      <c r="F125" s="94"/>
    </row>
    <row r="126" s="49" customFormat="1" ht="15.6" customHeight="1" spans="1:6">
      <c r="A126" s="92"/>
      <c r="B126" s="92"/>
      <c r="C126" s="93"/>
      <c r="D126" s="92"/>
      <c r="E126" s="92"/>
      <c r="F126" s="94"/>
    </row>
    <row r="127" s="49" customFormat="1" ht="15.6" customHeight="1" spans="1:6">
      <c r="A127" s="92"/>
      <c r="B127" s="92"/>
      <c r="C127" s="93"/>
      <c r="D127" s="92"/>
      <c r="E127" s="92"/>
      <c r="F127" s="94"/>
    </row>
    <row r="128" s="49" customFormat="1" ht="15.6" customHeight="1" spans="1:6">
      <c r="A128" s="92"/>
      <c r="B128" s="92"/>
      <c r="C128" s="93"/>
      <c r="D128" s="92"/>
      <c r="E128" s="92"/>
      <c r="F128" s="94"/>
    </row>
    <row r="129" s="49" customFormat="1" ht="15.6" customHeight="1" spans="1:6">
      <c r="A129" s="92"/>
      <c r="B129" s="92"/>
      <c r="C129" s="93"/>
      <c r="D129" s="92"/>
      <c r="E129" s="92"/>
      <c r="F129" s="94"/>
    </row>
    <row r="130" s="49" customFormat="1" ht="15.6" customHeight="1" spans="1:6">
      <c r="A130" s="92"/>
      <c r="B130" s="92"/>
      <c r="C130" s="93"/>
      <c r="D130" s="92"/>
      <c r="E130" s="92"/>
      <c r="F130" s="94"/>
    </row>
    <row r="131" s="49" customFormat="1" ht="15.6" customHeight="1" spans="1:6">
      <c r="A131" s="92"/>
      <c r="B131" s="92"/>
      <c r="C131" s="93"/>
      <c r="D131" s="92"/>
      <c r="E131" s="92"/>
      <c r="F131" s="94"/>
    </row>
    <row r="132" s="49" customFormat="1" ht="15.6" customHeight="1" spans="1:6">
      <c r="A132" s="92"/>
      <c r="B132" s="92"/>
      <c r="C132" s="93"/>
      <c r="D132" s="92"/>
      <c r="E132" s="92"/>
      <c r="F132" s="94"/>
    </row>
    <row r="133" s="49" customFormat="1" ht="15.6" customHeight="1" spans="1:6">
      <c r="A133" s="92"/>
      <c r="B133" s="92"/>
      <c r="C133" s="93"/>
      <c r="D133" s="92"/>
      <c r="E133" s="92"/>
      <c r="F133" s="94"/>
    </row>
    <row r="134" s="49" customFormat="1" ht="15.6" customHeight="1" spans="1:6">
      <c r="A134" s="92"/>
      <c r="B134" s="92"/>
      <c r="C134" s="93"/>
      <c r="D134" s="92"/>
      <c r="E134" s="92"/>
      <c r="F134" s="94"/>
    </row>
  </sheetData>
  <mergeCells count="20">
    <mergeCell ref="A1:D1"/>
    <mergeCell ref="E1:F1"/>
    <mergeCell ref="A2:D2"/>
    <mergeCell ref="E2:F2"/>
    <mergeCell ref="G2:H2"/>
    <mergeCell ref="A3:H3"/>
    <mergeCell ref="D19:E19"/>
    <mergeCell ref="A5:A8"/>
    <mergeCell ref="A9:A10"/>
    <mergeCell ref="A11:A17"/>
    <mergeCell ref="B5:B8"/>
    <mergeCell ref="B9:B10"/>
    <mergeCell ref="B11:B17"/>
    <mergeCell ref="C5:C8"/>
    <mergeCell ref="C9:C10"/>
    <mergeCell ref="C11:C17"/>
    <mergeCell ref="H5:H8"/>
    <mergeCell ref="H9:H10"/>
    <mergeCell ref="H11:H16"/>
    <mergeCell ref="B22:E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3:R18"/>
  <sheetViews>
    <sheetView workbookViewId="0">
      <selection activeCell="F31" sqref="F31"/>
    </sheetView>
  </sheetViews>
  <sheetFormatPr defaultColWidth="8.72727272727273" defaultRowHeight="15.6"/>
  <sheetData>
    <row r="3" spans="13:18">
      <c r="M3" s="47" t="s">
        <v>237</v>
      </c>
      <c r="N3" s="48"/>
      <c r="O3" s="48"/>
      <c r="P3" s="48"/>
      <c r="Q3" s="48"/>
      <c r="R3" s="48"/>
    </row>
    <row r="4" spans="13:18">
      <c r="M4" s="48"/>
      <c r="N4" s="48"/>
      <c r="O4" s="48"/>
      <c r="P4" s="48"/>
      <c r="Q4" s="48"/>
      <c r="R4" s="48"/>
    </row>
    <row r="5" spans="13:18">
      <c r="M5" s="48"/>
      <c r="N5" s="48"/>
      <c r="O5" s="48"/>
      <c r="P5" s="48"/>
      <c r="Q5" s="48"/>
      <c r="R5" s="48"/>
    </row>
    <row r="6" spans="13:18">
      <c r="M6" s="48"/>
      <c r="N6" s="48"/>
      <c r="O6" s="48"/>
      <c r="P6" s="48"/>
      <c r="Q6" s="48"/>
      <c r="R6" s="48"/>
    </row>
    <row r="7" spans="13:18">
      <c r="M7" s="48"/>
      <c r="N7" s="48"/>
      <c r="O7" s="48"/>
      <c r="P7" s="48"/>
      <c r="Q7" s="48"/>
      <c r="R7" s="48"/>
    </row>
    <row r="8" spans="13:18">
      <c r="M8" s="48"/>
      <c r="N8" s="48"/>
      <c r="O8" s="48"/>
      <c r="P8" s="48"/>
      <c r="Q8" s="48"/>
      <c r="R8" s="48"/>
    </row>
    <row r="9" spans="13:18">
      <c r="M9" s="48"/>
      <c r="N9" s="48"/>
      <c r="O9" s="48"/>
      <c r="P9" s="48"/>
      <c r="Q9" s="48"/>
      <c r="R9" s="48"/>
    </row>
    <row r="10" spans="13:18">
      <c r="M10" s="48"/>
      <c r="N10" s="48"/>
      <c r="O10" s="48"/>
      <c r="P10" s="48"/>
      <c r="Q10" s="48"/>
      <c r="R10" s="48"/>
    </row>
    <row r="11" spans="13:18">
      <c r="M11" s="48"/>
      <c r="N11" s="48"/>
      <c r="O11" s="48"/>
      <c r="P11" s="48"/>
      <c r="Q11" s="48"/>
      <c r="R11" s="48"/>
    </row>
    <row r="12" spans="13:18">
      <c r="M12" s="48"/>
      <c r="N12" s="48"/>
      <c r="O12" s="48"/>
      <c r="P12" s="48"/>
      <c r="Q12" s="48"/>
      <c r="R12" s="48"/>
    </row>
    <row r="13" spans="13:18">
      <c r="M13" s="48"/>
      <c r="N13" s="48"/>
      <c r="O13" s="48"/>
      <c r="P13" s="48"/>
      <c r="Q13" s="48"/>
      <c r="R13" s="48"/>
    </row>
    <row r="14" spans="13:18">
      <c r="M14" s="48"/>
      <c r="N14" s="48"/>
      <c r="O14" s="48"/>
      <c r="P14" s="48"/>
      <c r="Q14" s="48"/>
      <c r="R14" s="48"/>
    </row>
    <row r="15" spans="13:18">
      <c r="M15" s="48"/>
      <c r="N15" s="48"/>
      <c r="O15" s="48"/>
      <c r="P15" s="48"/>
      <c r="Q15" s="48"/>
      <c r="R15" s="48"/>
    </row>
    <row r="16" spans="13:18">
      <c r="M16" s="48"/>
      <c r="N16" s="48"/>
      <c r="O16" s="48"/>
      <c r="P16" s="48"/>
      <c r="Q16" s="48"/>
      <c r="R16" s="48"/>
    </row>
    <row r="17" spans="13:18">
      <c r="M17" s="48"/>
      <c r="N17" s="48"/>
      <c r="O17" s="48"/>
      <c r="P17" s="48"/>
      <c r="Q17" s="48"/>
      <c r="R17" s="48"/>
    </row>
    <row r="18" spans="13:18">
      <c r="M18" s="48"/>
      <c r="N18" s="48"/>
      <c r="O18" s="48"/>
      <c r="P18" s="48"/>
      <c r="Q18" s="48"/>
      <c r="R18" s="48"/>
    </row>
  </sheetData>
  <mergeCells count="1">
    <mergeCell ref="M3:R18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31" sqref="F31"/>
    </sheetView>
  </sheetViews>
  <sheetFormatPr defaultColWidth="8.72727272727273" defaultRowHeight="15.6" outlineLevelRow="2" outlineLevelCol="1"/>
  <cols>
    <col min="2" max="2" width="28.6363636363636" customWidth="1"/>
  </cols>
  <sheetData>
    <row r="1" spans="1:2">
      <c r="A1" t="s">
        <v>238</v>
      </c>
      <c r="B1" t="s">
        <v>239</v>
      </c>
    </row>
    <row r="2" spans="1:2">
      <c r="A2" t="s">
        <v>240</v>
      </c>
      <c r="B2" t="s">
        <v>241</v>
      </c>
    </row>
    <row r="3" spans="1:2">
      <c r="A3" t="s">
        <v>242</v>
      </c>
      <c r="B3" t="s">
        <v>243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2"/>
  <sheetViews>
    <sheetView zoomScale="70" zoomScaleNormal="70" topLeftCell="A34" workbookViewId="0">
      <selection activeCell="F31" sqref="F31"/>
    </sheetView>
  </sheetViews>
  <sheetFormatPr defaultColWidth="8.18181818181818" defaultRowHeight="16.5" customHeight="1"/>
  <cols>
    <col min="2" max="2" width="13.2727272727273" style="3" customWidth="1"/>
    <col min="3" max="3" width="11.0227272727273" style="3" customWidth="1"/>
    <col min="4" max="4" width="14.5454545454545" style="3" customWidth="1"/>
    <col min="5" max="5" width="20.9090909090909" style="3" customWidth="1"/>
    <col min="6" max="6" width="13.5227272727273" style="3" customWidth="1"/>
    <col min="7" max="7" width="8.52272727272727" style="3" customWidth="1"/>
    <col min="8" max="8" width="6.96969696969697" style="3" customWidth="1"/>
    <col min="9" max="12" width="7.87878787878788" style="3" customWidth="1"/>
    <col min="13" max="13" width="7.87878787878788" style="4" customWidth="1"/>
    <col min="14" max="15" width="10.7272727272727" style="5" customWidth="1"/>
    <col min="16" max="18" width="11.5151515151515" style="3" customWidth="1"/>
    <col min="19" max="21" width="8.18181818181818" style="6"/>
    <col min="22" max="16384" width="8.18181818181818" style="1"/>
  </cols>
  <sheetData>
    <row r="1" s="1" customFormat="1" ht="21" customHeight="1" spans="1:23">
      <c r="B1" s="7" t="s">
        <v>244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="1" customFormat="1" customHeight="1" spans="1:23">
      <c r="B2" s="9" t="s">
        <v>0</v>
      </c>
      <c r="C2" s="9" t="s">
        <v>1</v>
      </c>
      <c r="D2" s="10" t="s">
        <v>2</v>
      </c>
      <c r="E2" s="10" t="s">
        <v>3</v>
      </c>
      <c r="F2" s="9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9" t="s">
        <v>11</v>
      </c>
      <c r="N2" s="11" t="s">
        <v>245</v>
      </c>
      <c r="O2" s="11" t="s">
        <v>246</v>
      </c>
      <c r="P2" s="9" t="s">
        <v>12</v>
      </c>
      <c r="Q2" s="9" t="s">
        <v>13</v>
      </c>
      <c r="R2" s="9" t="s">
        <v>14</v>
      </c>
      <c r="S2" s="12" t="s">
        <v>15</v>
      </c>
      <c r="T2" s="12" t="s">
        <v>16</v>
      </c>
      <c r="U2" s="12" t="s">
        <v>17</v>
      </c>
    </row>
    <row r="3" s="1" customFormat="1" customHeight="1" spans="1:23">
      <c r="A3" s="13" t="s">
        <v>247</v>
      </c>
      <c r="B3" s="14">
        <v>15</v>
      </c>
      <c r="C3" s="15" t="s">
        <v>18</v>
      </c>
      <c r="D3" s="15" t="s">
        <v>19</v>
      </c>
      <c r="E3" s="15" t="s">
        <v>62</v>
      </c>
      <c r="F3" s="15" t="s">
        <v>53</v>
      </c>
      <c r="G3" s="15" t="s">
        <v>36</v>
      </c>
      <c r="H3" s="15" t="s">
        <v>23</v>
      </c>
      <c r="I3" s="15" t="s">
        <v>55</v>
      </c>
      <c r="J3" s="15">
        <v>15</v>
      </c>
      <c r="K3" s="15">
        <v>2</v>
      </c>
      <c r="L3" s="16">
        <f t="shared" ref="L3:L8" si="0">K3/J3</f>
        <v>0.133333333333333</v>
      </c>
      <c r="M3" s="17">
        <v>36</v>
      </c>
      <c r="N3" s="17">
        <v>12</v>
      </c>
      <c r="O3" s="18">
        <f>N3/J3</f>
        <v>0.8</v>
      </c>
      <c r="P3" s="14" t="s">
        <v>38</v>
      </c>
      <c r="Q3" s="14">
        <v>2026.6</v>
      </c>
      <c r="R3" s="17">
        <v>14</v>
      </c>
      <c r="S3" s="19"/>
      <c r="T3" s="19"/>
      <c r="U3" s="19"/>
    </row>
    <row r="4" s="1" customFormat="1" customHeight="1" spans="1:23">
      <c r="A4" s="13"/>
      <c r="B4" s="14">
        <v>12</v>
      </c>
      <c r="C4" s="15" t="s">
        <v>18</v>
      </c>
      <c r="D4" s="15" t="s">
        <v>19</v>
      </c>
      <c r="E4" s="15" t="s">
        <v>52</v>
      </c>
      <c r="F4" s="15" t="s">
        <v>53</v>
      </c>
      <c r="G4" s="15" t="s">
        <v>54</v>
      </c>
      <c r="H4" s="20" t="s">
        <v>23</v>
      </c>
      <c r="I4" s="15" t="s">
        <v>55</v>
      </c>
      <c r="J4" s="20">
        <v>13</v>
      </c>
      <c r="K4" s="20">
        <v>0</v>
      </c>
      <c r="L4" s="16">
        <f t="shared" si="0"/>
        <v>0</v>
      </c>
      <c r="M4" s="17">
        <v>36</v>
      </c>
      <c r="N4" s="17">
        <v>12</v>
      </c>
      <c r="O4" s="18">
        <f>N4/J4</f>
        <v>0.923076923076923</v>
      </c>
      <c r="P4" s="14" t="s">
        <v>38</v>
      </c>
      <c r="Q4" s="14">
        <v>2026.6</v>
      </c>
      <c r="R4" s="21">
        <v>13</v>
      </c>
      <c r="S4" s="19"/>
      <c r="T4" s="19"/>
      <c r="U4" s="19"/>
    </row>
    <row r="5" s="1" customFormat="1" customHeight="1" spans="1:23">
      <c r="A5" s="13"/>
      <c r="B5" s="14"/>
      <c r="C5" s="22"/>
      <c r="D5" s="22"/>
      <c r="E5" s="22"/>
      <c r="F5" s="22"/>
      <c r="G5" s="22"/>
      <c r="H5" s="23"/>
      <c r="I5" s="22"/>
      <c r="J5" s="20"/>
      <c r="K5" s="20"/>
      <c r="L5" s="24"/>
      <c r="M5" s="17"/>
      <c r="N5" s="17"/>
      <c r="O5" s="18"/>
      <c r="P5" s="25"/>
      <c r="Q5" s="25"/>
      <c r="R5" s="25"/>
      <c r="S5" s="19"/>
      <c r="T5" s="19"/>
      <c r="U5" s="19"/>
      <c r="W5" s="26"/>
    </row>
    <row r="6" s="1" customFormat="1" customHeight="1" spans="1:23">
      <c r="A6" s="13"/>
      <c r="B6" s="14" t="s">
        <v>248</v>
      </c>
      <c r="C6" s="15" t="s">
        <v>18</v>
      </c>
      <c r="D6" s="15" t="s">
        <v>19</v>
      </c>
      <c r="E6" s="27" t="s">
        <v>46</v>
      </c>
      <c r="F6" s="15" t="s">
        <v>47</v>
      </c>
      <c r="G6" s="15" t="s">
        <v>48</v>
      </c>
      <c r="H6" s="20" t="s">
        <v>23</v>
      </c>
      <c r="I6" s="15" t="s">
        <v>49</v>
      </c>
      <c r="J6" s="20">
        <v>10</v>
      </c>
      <c r="K6" s="20">
        <v>0</v>
      </c>
      <c r="L6" s="16">
        <f t="shared" si="0"/>
        <v>0</v>
      </c>
      <c r="M6" s="17">
        <v>36</v>
      </c>
      <c r="N6" s="17">
        <v>5</v>
      </c>
      <c r="O6" s="18">
        <f>N6/J6</f>
        <v>0.5</v>
      </c>
      <c r="P6" s="14" t="s">
        <v>30</v>
      </c>
      <c r="Q6" s="14">
        <v>2026.6</v>
      </c>
      <c r="R6" s="21">
        <v>7</v>
      </c>
      <c r="S6" s="19"/>
      <c r="T6" s="19"/>
      <c r="U6" s="19"/>
    </row>
    <row r="7" s="1" customFormat="1" customHeight="1" spans="1:23">
      <c r="A7" s="13"/>
      <c r="B7" s="14">
        <v>11</v>
      </c>
      <c r="C7" s="15" t="s">
        <v>18</v>
      </c>
      <c r="D7" s="15" t="s">
        <v>19</v>
      </c>
      <c r="E7" s="15" t="s">
        <v>50</v>
      </c>
      <c r="F7" s="15" t="s">
        <v>51</v>
      </c>
      <c r="G7" s="15" t="s">
        <v>48</v>
      </c>
      <c r="H7" s="20" t="s">
        <v>23</v>
      </c>
      <c r="I7" s="15" t="s">
        <v>49</v>
      </c>
      <c r="J7" s="20">
        <v>15</v>
      </c>
      <c r="K7" s="20">
        <v>0</v>
      </c>
      <c r="L7" s="16">
        <f t="shared" si="0"/>
        <v>0</v>
      </c>
      <c r="M7" s="17">
        <v>36</v>
      </c>
      <c r="N7" s="17">
        <v>12</v>
      </c>
      <c r="O7" s="18">
        <f>N7/J7</f>
        <v>0.8</v>
      </c>
      <c r="P7" s="14" t="s">
        <v>38</v>
      </c>
      <c r="Q7" s="14">
        <v>2026.6</v>
      </c>
      <c r="R7" s="21">
        <v>14</v>
      </c>
      <c r="S7" s="14"/>
      <c r="T7" s="19"/>
      <c r="U7" s="19"/>
    </row>
    <row r="8" s="1" customFormat="1" customHeight="1" spans="1:23">
      <c r="A8" s="13"/>
      <c r="B8" s="14">
        <v>16</v>
      </c>
      <c r="C8" s="15" t="s">
        <v>18</v>
      </c>
      <c r="D8" s="15" t="s">
        <v>63</v>
      </c>
      <c r="E8" s="15" t="s">
        <v>64</v>
      </c>
      <c r="F8" s="15" t="s">
        <v>60</v>
      </c>
      <c r="G8" s="15" t="s">
        <v>65</v>
      </c>
      <c r="H8" s="15" t="s">
        <v>23</v>
      </c>
      <c r="I8" s="15" t="s">
        <v>66</v>
      </c>
      <c r="J8" s="15">
        <v>14</v>
      </c>
      <c r="K8" s="15">
        <v>13</v>
      </c>
      <c r="L8" s="28">
        <f t="shared" si="0"/>
        <v>0.928571428571429</v>
      </c>
      <c r="M8" s="17">
        <v>16</v>
      </c>
      <c r="N8" s="17">
        <v>13</v>
      </c>
      <c r="O8" s="18">
        <f>N8/J8</f>
        <v>0.928571428571429</v>
      </c>
      <c r="P8" s="14" t="s">
        <v>67</v>
      </c>
      <c r="Q8" s="14">
        <v>2026.6</v>
      </c>
      <c r="R8" s="17">
        <v>14</v>
      </c>
      <c r="S8" s="19"/>
      <c r="T8" s="19"/>
      <c r="U8" s="19"/>
    </row>
    <row r="9" s="1" customFormat="1" customHeight="1" spans="1:23">
      <c r="A9" s="13"/>
      <c r="B9" s="14"/>
      <c r="C9" s="22"/>
      <c r="D9" s="22"/>
      <c r="E9" s="22"/>
      <c r="F9" s="22"/>
      <c r="G9" s="22"/>
      <c r="H9" s="20"/>
      <c r="I9" s="22"/>
      <c r="J9" s="20"/>
      <c r="K9" s="20"/>
      <c r="L9" s="24"/>
      <c r="M9" s="17"/>
      <c r="N9" s="17"/>
      <c r="O9" s="18"/>
      <c r="P9" s="25"/>
      <c r="Q9" s="25"/>
      <c r="R9" s="25"/>
      <c r="S9" s="19"/>
      <c r="T9" s="19"/>
      <c r="U9" s="19"/>
    </row>
    <row r="10" s="1" customFormat="1" customHeight="1" spans="1:23">
      <c r="A10" s="13"/>
      <c r="B10" s="14">
        <v>7</v>
      </c>
      <c r="C10" s="15" t="s">
        <v>18</v>
      </c>
      <c r="D10" s="15" t="s">
        <v>19</v>
      </c>
      <c r="E10" s="22" t="s">
        <v>34</v>
      </c>
      <c r="F10" s="15" t="s">
        <v>35</v>
      </c>
      <c r="G10" s="29" t="s">
        <v>36</v>
      </c>
      <c r="H10" s="15" t="s">
        <v>33</v>
      </c>
      <c r="I10" s="15" t="s">
        <v>37</v>
      </c>
      <c r="J10" s="20">
        <v>14</v>
      </c>
      <c r="K10" s="20">
        <v>1</v>
      </c>
      <c r="L10" s="16">
        <f t="shared" ref="L10:L12" si="1">K10/J10</f>
        <v>0.0714285714285714</v>
      </c>
      <c r="M10" s="17">
        <v>36</v>
      </c>
      <c r="N10" s="17">
        <v>12</v>
      </c>
      <c r="O10" s="18">
        <f>N10/J10</f>
        <v>0.857142857142857</v>
      </c>
      <c r="P10" s="14" t="s">
        <v>38</v>
      </c>
      <c r="Q10" s="14">
        <v>2026.6</v>
      </c>
      <c r="R10" s="14">
        <v>14</v>
      </c>
      <c r="S10" s="19"/>
      <c r="T10" s="19"/>
      <c r="U10" s="19"/>
    </row>
    <row r="11" s="1" customFormat="1" customHeight="1" spans="1:23">
      <c r="A11" s="13"/>
      <c r="B11" s="14">
        <v>13</v>
      </c>
      <c r="C11" s="15" t="s">
        <v>18</v>
      </c>
      <c r="D11" s="15" t="s">
        <v>19</v>
      </c>
      <c r="E11" s="15" t="s">
        <v>56</v>
      </c>
      <c r="F11" s="15" t="s">
        <v>47</v>
      </c>
      <c r="G11" s="15" t="s">
        <v>57</v>
      </c>
      <c r="H11" s="22" t="s">
        <v>58</v>
      </c>
      <c r="I11" s="15" t="s">
        <v>37</v>
      </c>
      <c r="J11" s="15">
        <v>12</v>
      </c>
      <c r="K11" s="15">
        <v>8</v>
      </c>
      <c r="L11" s="16">
        <f t="shared" si="1"/>
        <v>0.666666666666667</v>
      </c>
      <c r="M11" s="17">
        <v>36</v>
      </c>
      <c r="N11" s="17">
        <v>9</v>
      </c>
      <c r="O11" s="18">
        <f>N11/J11</f>
        <v>0.75</v>
      </c>
      <c r="P11" s="14" t="s">
        <v>30</v>
      </c>
      <c r="Q11" s="14">
        <v>2026.6</v>
      </c>
      <c r="R11" s="17">
        <v>10</v>
      </c>
      <c r="S11" s="19"/>
      <c r="T11" s="19"/>
      <c r="U11" s="19"/>
    </row>
    <row r="12" s="1" customFormat="1" customHeight="1" spans="1:23">
      <c r="A12" s="13"/>
      <c r="B12" s="14">
        <v>14</v>
      </c>
      <c r="C12" s="15" t="s">
        <v>18</v>
      </c>
      <c r="D12" s="15" t="s">
        <v>19</v>
      </c>
      <c r="E12" s="15" t="s">
        <v>59</v>
      </c>
      <c r="F12" s="15" t="s">
        <v>60</v>
      </c>
      <c r="G12" s="15" t="s">
        <v>61</v>
      </c>
      <c r="H12" s="20" t="s">
        <v>23</v>
      </c>
      <c r="I12" s="15" t="s">
        <v>37</v>
      </c>
      <c r="J12" s="15">
        <v>15</v>
      </c>
      <c r="K12" s="15">
        <v>9</v>
      </c>
      <c r="L12" s="16">
        <f t="shared" si="1"/>
        <v>0.6</v>
      </c>
      <c r="M12" s="17">
        <v>36</v>
      </c>
      <c r="N12" s="17">
        <v>10</v>
      </c>
      <c r="O12" s="18">
        <f>N12/J12</f>
        <v>0.666666666666667</v>
      </c>
      <c r="P12" s="14" t="s">
        <v>38</v>
      </c>
      <c r="Q12" s="14">
        <v>2026.6</v>
      </c>
      <c r="R12" s="17">
        <v>11</v>
      </c>
      <c r="S12" s="19"/>
      <c r="T12" s="19"/>
      <c r="U12" s="19"/>
    </row>
    <row r="13" s="1" customFormat="1" customHeight="1" spans="1:23">
      <c r="A13" s="13"/>
      <c r="B13" s="14"/>
      <c r="C13" s="15"/>
      <c r="D13" s="15"/>
      <c r="E13" s="22"/>
      <c r="F13" s="30"/>
      <c r="G13" s="15"/>
      <c r="H13" s="22"/>
      <c r="I13" s="22"/>
      <c r="J13" s="20"/>
      <c r="K13" s="20"/>
      <c r="L13" s="24"/>
      <c r="M13" s="17"/>
      <c r="N13" s="17"/>
      <c r="O13" s="18"/>
      <c r="P13" s="14"/>
      <c r="Q13" s="25"/>
      <c r="R13" s="25"/>
      <c r="S13" s="19"/>
      <c r="T13" s="19"/>
      <c r="U13" s="19"/>
    </row>
    <row r="14" s="1" customFormat="1" customHeight="1" spans="1:23">
      <c r="A14" s="13"/>
      <c r="B14" s="14">
        <v>4</v>
      </c>
      <c r="C14" s="15" t="s">
        <v>18</v>
      </c>
      <c r="D14" s="15" t="s">
        <v>19</v>
      </c>
      <c r="E14" s="31" t="s">
        <v>20</v>
      </c>
      <c r="F14" s="15" t="s">
        <v>21</v>
      </c>
      <c r="G14" s="31" t="s">
        <v>22</v>
      </c>
      <c r="H14" s="20" t="s">
        <v>23</v>
      </c>
      <c r="I14" s="20" t="s">
        <v>24</v>
      </c>
      <c r="J14" s="20">
        <v>14</v>
      </c>
      <c r="K14" s="20">
        <v>1</v>
      </c>
      <c r="L14" s="16">
        <f t="shared" ref="L14:L16" si="2">K14/J14</f>
        <v>0.0714285714285714</v>
      </c>
      <c r="M14" s="17">
        <v>36</v>
      </c>
      <c r="N14" s="17"/>
      <c r="O14" s="18">
        <f t="shared" ref="O13:O21" si="3">N14/J14</f>
        <v>0</v>
      </c>
      <c r="P14" s="14" t="s">
        <v>25</v>
      </c>
      <c r="Q14" s="14">
        <v>2026.6</v>
      </c>
      <c r="R14" s="14">
        <v>14</v>
      </c>
      <c r="S14" s="19"/>
      <c r="T14" s="19"/>
      <c r="U14" s="19"/>
    </row>
    <row r="15" s="1" customFormat="1" customHeight="1" spans="1:23">
      <c r="A15" s="13"/>
      <c r="B15" s="14">
        <v>9</v>
      </c>
      <c r="C15" s="15" t="s">
        <v>18</v>
      </c>
      <c r="D15" s="15" t="s">
        <v>19</v>
      </c>
      <c r="E15" s="15" t="s">
        <v>44</v>
      </c>
      <c r="F15" s="15" t="s">
        <v>45</v>
      </c>
      <c r="G15" s="31" t="s">
        <v>22</v>
      </c>
      <c r="H15" s="20" t="s">
        <v>23</v>
      </c>
      <c r="I15" s="15" t="s">
        <v>24</v>
      </c>
      <c r="J15" s="20">
        <v>15</v>
      </c>
      <c r="K15" s="20">
        <v>6</v>
      </c>
      <c r="L15" s="16">
        <f t="shared" si="2"/>
        <v>0.4</v>
      </c>
      <c r="M15" s="17">
        <v>36</v>
      </c>
      <c r="N15" s="17"/>
      <c r="O15" s="18">
        <f t="shared" si="3"/>
        <v>0</v>
      </c>
      <c r="P15" s="14" t="s">
        <v>38</v>
      </c>
      <c r="Q15" s="14">
        <v>2026.6</v>
      </c>
      <c r="R15" s="21">
        <v>13</v>
      </c>
      <c r="S15" s="19"/>
      <c r="T15" s="19"/>
      <c r="U15" s="19"/>
    </row>
    <row r="16" s="1" customFormat="1" customHeight="1" spans="1:23">
      <c r="A16" s="13"/>
      <c r="B16" s="14">
        <v>8</v>
      </c>
      <c r="C16" s="15" t="s">
        <v>18</v>
      </c>
      <c r="D16" s="15" t="s">
        <v>19</v>
      </c>
      <c r="E16" s="15" t="s">
        <v>39</v>
      </c>
      <c r="F16" s="15" t="s">
        <v>40</v>
      </c>
      <c r="G16" s="15" t="s">
        <v>41</v>
      </c>
      <c r="H16" s="15" t="s">
        <v>33</v>
      </c>
      <c r="I16" s="15" t="s">
        <v>24</v>
      </c>
      <c r="J16" s="20">
        <v>14</v>
      </c>
      <c r="K16" s="20">
        <v>12</v>
      </c>
      <c r="L16" s="16">
        <f t="shared" si="2"/>
        <v>0.857142857142857</v>
      </c>
      <c r="M16" s="17">
        <v>36</v>
      </c>
      <c r="N16" s="17">
        <v>13</v>
      </c>
      <c r="O16" s="18">
        <f t="shared" si="3"/>
        <v>0.928571428571429</v>
      </c>
      <c r="P16" s="14" t="s">
        <v>42</v>
      </c>
      <c r="Q16" s="14">
        <v>2026.6</v>
      </c>
      <c r="R16" s="21">
        <v>14</v>
      </c>
      <c r="S16" s="19">
        <v>1</v>
      </c>
      <c r="T16" s="19">
        <v>10</v>
      </c>
      <c r="U16" s="19" t="s">
        <v>43</v>
      </c>
    </row>
    <row r="17" s="1" customFormat="1" ht="15.6" spans="1:21">
      <c r="A17" s="13"/>
      <c r="B17" s="14"/>
      <c r="C17" s="22"/>
      <c r="D17" s="22"/>
      <c r="E17" s="22"/>
      <c r="F17" s="22"/>
      <c r="G17" s="22"/>
      <c r="H17" s="22"/>
      <c r="I17" s="22"/>
      <c r="J17" s="20"/>
      <c r="K17" s="20"/>
      <c r="L17" s="24"/>
      <c r="M17" s="17"/>
      <c r="N17" s="17"/>
      <c r="O17" s="18"/>
      <c r="P17" s="25"/>
      <c r="Q17" s="25"/>
      <c r="R17" s="25"/>
      <c r="S17" s="19"/>
      <c r="T17" s="19"/>
      <c r="U17" s="19"/>
    </row>
    <row r="18" s="1" customFormat="1" customHeight="1" spans="1:21">
      <c r="A18" s="13"/>
      <c r="B18" s="14" t="s">
        <v>248</v>
      </c>
      <c r="C18" s="15" t="s">
        <v>18</v>
      </c>
      <c r="D18" s="15" t="s">
        <v>19</v>
      </c>
      <c r="E18" s="27" t="s">
        <v>26</v>
      </c>
      <c r="F18" s="15" t="s">
        <v>27</v>
      </c>
      <c r="G18" s="15" t="s">
        <v>28</v>
      </c>
      <c r="H18" s="20" t="s">
        <v>23</v>
      </c>
      <c r="I18" s="20" t="s">
        <v>29</v>
      </c>
      <c r="J18" s="20">
        <v>8</v>
      </c>
      <c r="K18" s="20">
        <v>0</v>
      </c>
      <c r="L18" s="16">
        <f>K18/J18</f>
        <v>0</v>
      </c>
      <c r="M18" s="17">
        <v>36</v>
      </c>
      <c r="N18" s="17"/>
      <c r="O18" s="18">
        <f t="shared" si="3"/>
        <v>0</v>
      </c>
      <c r="P18" s="14" t="s">
        <v>30</v>
      </c>
      <c r="Q18" s="14">
        <v>2026.6</v>
      </c>
      <c r="R18" s="19">
        <v>8</v>
      </c>
      <c r="S18" s="19"/>
      <c r="T18" s="19"/>
      <c r="U18" s="19"/>
    </row>
    <row r="19" s="1" customFormat="1" customHeight="1" spans="1:21">
      <c r="A19" s="13"/>
      <c r="B19" s="14">
        <v>6</v>
      </c>
      <c r="C19" s="15" t="s">
        <v>18</v>
      </c>
      <c r="D19" s="15" t="s">
        <v>19</v>
      </c>
      <c r="E19" s="15" t="s">
        <v>31</v>
      </c>
      <c r="F19" s="15" t="s">
        <v>21</v>
      </c>
      <c r="G19" s="15" t="s">
        <v>32</v>
      </c>
      <c r="H19" s="20" t="s">
        <v>33</v>
      </c>
      <c r="I19" s="20" t="s">
        <v>29</v>
      </c>
      <c r="J19" s="20">
        <v>16</v>
      </c>
      <c r="K19" s="20">
        <v>0</v>
      </c>
      <c r="L19" s="16">
        <f>K19/J19</f>
        <v>0</v>
      </c>
      <c r="M19" s="17">
        <v>36</v>
      </c>
      <c r="N19" s="17"/>
      <c r="O19" s="18">
        <f t="shared" si="3"/>
        <v>0</v>
      </c>
      <c r="P19" s="14" t="s">
        <v>25</v>
      </c>
      <c r="Q19" s="14">
        <v>2026.6</v>
      </c>
      <c r="R19" s="19">
        <v>13</v>
      </c>
      <c r="S19" s="19"/>
      <c r="T19" s="19"/>
      <c r="U19" s="19"/>
    </row>
    <row r="20" s="1" customFormat="1" customHeight="1" spans="1:21">
      <c r="A20" s="13"/>
      <c r="B20" s="14"/>
      <c r="C20" s="22"/>
      <c r="D20" s="22"/>
      <c r="E20" s="22"/>
      <c r="F20" s="22"/>
      <c r="G20" s="22"/>
      <c r="H20" s="22"/>
      <c r="I20" s="22"/>
      <c r="J20" s="20"/>
      <c r="K20" s="20"/>
      <c r="L20" s="24"/>
      <c r="M20" s="17"/>
      <c r="N20" s="17"/>
      <c r="O20" s="18"/>
      <c r="P20" s="25"/>
      <c r="Q20" s="25"/>
      <c r="R20" s="25"/>
      <c r="S20" s="19"/>
      <c r="T20" s="19"/>
      <c r="U20" s="19"/>
    </row>
    <row r="21" s="2" customFormat="1" ht="15.6" spans="1:21">
      <c r="A21" s="13"/>
      <c r="B21" s="14">
        <v>17</v>
      </c>
      <c r="C21" s="15" t="s">
        <v>18</v>
      </c>
      <c r="D21" s="15" t="s">
        <v>19</v>
      </c>
      <c r="E21" s="15" t="s">
        <v>68</v>
      </c>
      <c r="F21" s="15" t="s">
        <v>69</v>
      </c>
      <c r="G21" s="15" t="s">
        <v>70</v>
      </c>
      <c r="H21" s="23" t="s">
        <v>33</v>
      </c>
      <c r="I21" s="20" t="s">
        <v>71</v>
      </c>
      <c r="J21" s="20">
        <v>13</v>
      </c>
      <c r="K21" s="20">
        <v>0</v>
      </c>
      <c r="L21" s="16">
        <f>K21/J21</f>
        <v>0</v>
      </c>
      <c r="M21" s="17">
        <v>37</v>
      </c>
      <c r="N21" s="17"/>
      <c r="O21" s="18">
        <f t="shared" si="3"/>
        <v>0</v>
      </c>
      <c r="P21" s="14" t="s">
        <v>72</v>
      </c>
      <c r="Q21" s="14">
        <v>2026.6</v>
      </c>
      <c r="R21" s="19">
        <v>10</v>
      </c>
      <c r="S21" s="19"/>
      <c r="T21" s="19"/>
      <c r="U21" s="19"/>
    </row>
    <row r="22" s="1" customFormat="1" customHeight="1" spans="1:21">
      <c r="A22" s="13"/>
      <c r="B22" s="32"/>
      <c r="C22" s="32"/>
      <c r="D22" s="33"/>
      <c r="E22" s="32"/>
      <c r="F22" s="32"/>
      <c r="G22" s="33"/>
      <c r="H22" s="33"/>
      <c r="I22" s="33">
        <v>2026.6</v>
      </c>
      <c r="J22" s="34">
        <f>SUM(J3:J21)</f>
        <v>188</v>
      </c>
      <c r="K22" s="34">
        <f>SUM(K3:K21)</f>
        <v>52</v>
      </c>
      <c r="L22" s="16">
        <f>K22/J22</f>
        <v>0.276595744680851</v>
      </c>
      <c r="M22" s="35"/>
      <c r="N22" s="35"/>
      <c r="O22" s="35"/>
      <c r="P22" s="36"/>
      <c r="Q22" s="36"/>
      <c r="R22" s="36">
        <f>SUM(R3:R21)</f>
        <v>169</v>
      </c>
      <c r="S22" s="37">
        <v>0.899</v>
      </c>
      <c r="T22" s="38"/>
      <c r="U22" s="38"/>
    </row>
    <row r="24" s="1" customFormat="1" customHeight="1" spans="1:21">
      <c r="A24" s="13" t="s">
        <v>249</v>
      </c>
      <c r="B24" s="14">
        <v>43</v>
      </c>
      <c r="C24" s="15"/>
      <c r="D24" s="15"/>
      <c r="E24" s="15" t="s">
        <v>250</v>
      </c>
      <c r="F24" s="15" t="s">
        <v>100</v>
      </c>
      <c r="G24" s="15" t="s">
        <v>170</v>
      </c>
      <c r="H24" s="20" t="s">
        <v>58</v>
      </c>
      <c r="I24" s="20" t="s">
        <v>98</v>
      </c>
      <c r="J24" s="20">
        <v>9</v>
      </c>
      <c r="K24" s="20">
        <v>0</v>
      </c>
      <c r="L24" s="16">
        <f t="shared" ref="L24:L38" si="4">K24/J24</f>
        <v>0</v>
      </c>
      <c r="M24" s="17">
        <v>16</v>
      </c>
      <c r="N24" s="14" t="s">
        <v>102</v>
      </c>
      <c r="O24" s="14">
        <v>2026.12</v>
      </c>
      <c r="P24" s="19">
        <v>9</v>
      </c>
      <c r="Q24" s="38"/>
      <c r="R24" s="38"/>
      <c r="S24" s="38"/>
    </row>
    <row r="25" s="1" customFormat="1" customHeight="1" spans="1:21">
      <c r="A25" s="13"/>
      <c r="B25" s="14">
        <v>44</v>
      </c>
      <c r="C25" s="15"/>
      <c r="D25" s="15"/>
      <c r="E25" s="15" t="s">
        <v>251</v>
      </c>
      <c r="F25" s="15" t="s">
        <v>252</v>
      </c>
      <c r="G25" s="15" t="s">
        <v>61</v>
      </c>
      <c r="H25" s="20" t="s">
        <v>33</v>
      </c>
      <c r="I25" s="20" t="s">
        <v>98</v>
      </c>
      <c r="J25" s="20">
        <v>10</v>
      </c>
      <c r="K25" s="20">
        <v>0</v>
      </c>
      <c r="L25" s="16">
        <f t="shared" si="4"/>
        <v>0</v>
      </c>
      <c r="M25" s="17">
        <v>16</v>
      </c>
      <c r="N25" s="14" t="s">
        <v>109</v>
      </c>
      <c r="O25" s="14">
        <v>2026.12</v>
      </c>
      <c r="P25" s="19">
        <v>10</v>
      </c>
      <c r="Q25" s="19"/>
      <c r="R25" s="19"/>
      <c r="S25" s="19"/>
    </row>
    <row r="26" s="1" customFormat="1" customHeight="1" spans="1:21">
      <c r="A26" s="13"/>
      <c r="B26" s="14">
        <v>45</v>
      </c>
      <c r="C26" s="15"/>
      <c r="D26" s="15"/>
      <c r="E26" s="15" t="s">
        <v>253</v>
      </c>
      <c r="F26" s="15" t="s">
        <v>254</v>
      </c>
      <c r="G26" s="15" t="s">
        <v>255</v>
      </c>
      <c r="H26" s="20" t="s">
        <v>23</v>
      </c>
      <c r="I26" s="20" t="s">
        <v>256</v>
      </c>
      <c r="J26" s="20">
        <v>11</v>
      </c>
      <c r="K26" s="20">
        <v>0</v>
      </c>
      <c r="L26" s="16">
        <f t="shared" si="4"/>
        <v>0</v>
      </c>
      <c r="M26" s="17">
        <v>16</v>
      </c>
      <c r="N26" s="14" t="s">
        <v>109</v>
      </c>
      <c r="O26" s="14">
        <v>2026.12</v>
      </c>
      <c r="P26" s="19">
        <v>11</v>
      </c>
      <c r="Q26" s="19"/>
      <c r="R26" s="19"/>
      <c r="S26" s="19"/>
    </row>
    <row r="27" s="1" customFormat="1" customHeight="1" spans="1:21">
      <c r="A27" s="13"/>
      <c r="B27" s="14">
        <v>46</v>
      </c>
      <c r="C27" s="15"/>
      <c r="D27" s="15"/>
      <c r="E27" s="15" t="s">
        <v>257</v>
      </c>
      <c r="F27" s="15" t="s">
        <v>258</v>
      </c>
      <c r="G27" s="15" t="s">
        <v>28</v>
      </c>
      <c r="H27" s="20" t="s">
        <v>23</v>
      </c>
      <c r="I27" s="20" t="s">
        <v>98</v>
      </c>
      <c r="J27" s="15">
        <v>13</v>
      </c>
      <c r="K27" s="20">
        <v>0</v>
      </c>
      <c r="L27" s="16">
        <f t="shared" si="4"/>
        <v>0</v>
      </c>
      <c r="M27" s="17">
        <v>16</v>
      </c>
      <c r="N27" s="14" t="s">
        <v>109</v>
      </c>
      <c r="O27" s="14">
        <v>2026.12</v>
      </c>
      <c r="P27" s="14">
        <v>13</v>
      </c>
      <c r="Q27" s="19"/>
      <c r="R27" s="19"/>
      <c r="S27" s="19"/>
    </row>
    <row r="28" s="1" customFormat="1" customHeight="1" spans="1:21">
      <c r="A28" s="13"/>
      <c r="B28" s="14">
        <v>47</v>
      </c>
      <c r="C28" s="15"/>
      <c r="D28" s="15" t="s">
        <v>259</v>
      </c>
      <c r="E28" s="39" t="s">
        <v>96</v>
      </c>
      <c r="F28" s="15" t="s">
        <v>53</v>
      </c>
      <c r="G28" s="15" t="s">
        <v>97</v>
      </c>
      <c r="H28" s="23" t="s">
        <v>33</v>
      </c>
      <c r="I28" s="22" t="s">
        <v>98</v>
      </c>
      <c r="J28" s="23">
        <v>11</v>
      </c>
      <c r="K28" s="20">
        <v>0</v>
      </c>
      <c r="L28" s="16">
        <f t="shared" si="4"/>
        <v>0</v>
      </c>
      <c r="M28" s="17">
        <v>16</v>
      </c>
      <c r="N28" s="14" t="s">
        <v>67</v>
      </c>
      <c r="O28" s="14">
        <v>2026.12</v>
      </c>
      <c r="P28" s="17">
        <v>10</v>
      </c>
      <c r="Q28" s="19"/>
      <c r="R28" s="19"/>
      <c r="S28" s="15"/>
    </row>
    <row r="29" s="1" customFormat="1" customHeight="1" spans="1:21">
      <c r="A29" s="13"/>
      <c r="B29" s="14">
        <v>48</v>
      </c>
      <c r="C29" s="15"/>
      <c r="D29" s="15"/>
      <c r="E29" s="22" t="s">
        <v>260</v>
      </c>
      <c r="F29" s="15" t="s">
        <v>100</v>
      </c>
      <c r="G29" s="15" t="s">
        <v>54</v>
      </c>
      <c r="H29" s="20" t="s">
        <v>23</v>
      </c>
      <c r="I29" s="22" t="s">
        <v>108</v>
      </c>
      <c r="J29" s="23">
        <v>14</v>
      </c>
      <c r="K29" s="20">
        <v>2</v>
      </c>
      <c r="L29" s="16">
        <f t="shared" si="4"/>
        <v>0.142857142857143</v>
      </c>
      <c r="M29" s="17">
        <v>16</v>
      </c>
      <c r="N29" s="14" t="s">
        <v>102</v>
      </c>
      <c r="O29" s="14">
        <v>2026.12</v>
      </c>
      <c r="P29" s="17">
        <v>14</v>
      </c>
      <c r="Q29" s="14"/>
      <c r="R29" s="19"/>
      <c r="S29" s="14"/>
    </row>
    <row r="30" s="1" customFormat="1" customHeight="1" spans="1:21">
      <c r="A30" s="13"/>
      <c r="B30" s="14">
        <v>49</v>
      </c>
      <c r="C30" s="15"/>
      <c r="D30" s="15"/>
      <c r="E30" s="22" t="s">
        <v>261</v>
      </c>
      <c r="F30" s="15" t="s">
        <v>40</v>
      </c>
      <c r="G30" s="15" t="s">
        <v>36</v>
      </c>
      <c r="H30" s="20" t="s">
        <v>33</v>
      </c>
      <c r="I30" s="22" t="s">
        <v>262</v>
      </c>
      <c r="J30" s="23">
        <v>12</v>
      </c>
      <c r="K30" s="20">
        <v>1</v>
      </c>
      <c r="L30" s="16">
        <f t="shared" si="4"/>
        <v>0.0833333333333333</v>
      </c>
      <c r="M30" s="17">
        <v>16</v>
      </c>
      <c r="N30" s="14" t="s">
        <v>263</v>
      </c>
      <c r="O30" s="14">
        <v>2026.12</v>
      </c>
      <c r="P30" s="17">
        <v>11</v>
      </c>
      <c r="Q30" s="19"/>
      <c r="R30" s="19"/>
      <c r="S30" s="19"/>
    </row>
    <row r="31" s="1" customFormat="1" customHeight="1" spans="1:21">
      <c r="A31" s="13"/>
      <c r="B31" s="14">
        <v>50</v>
      </c>
      <c r="C31" s="15"/>
      <c r="D31" s="15"/>
      <c r="E31" s="22" t="s">
        <v>264</v>
      </c>
      <c r="F31" s="15" t="s">
        <v>35</v>
      </c>
      <c r="G31" s="15" t="s">
        <v>54</v>
      </c>
      <c r="H31" s="20" t="s">
        <v>33</v>
      </c>
      <c r="I31" s="22" t="s">
        <v>108</v>
      </c>
      <c r="J31" s="23">
        <v>13</v>
      </c>
      <c r="K31" s="20">
        <v>0</v>
      </c>
      <c r="L31" s="16">
        <f t="shared" si="4"/>
        <v>0</v>
      </c>
      <c r="M31" s="17">
        <v>16</v>
      </c>
      <c r="N31" s="14" t="s">
        <v>67</v>
      </c>
      <c r="O31" s="14">
        <v>2026.12</v>
      </c>
      <c r="P31" s="17">
        <v>13</v>
      </c>
      <c r="Q31" s="19"/>
      <c r="R31" s="19"/>
      <c r="S31" s="19"/>
    </row>
    <row r="32" s="1" customFormat="1" customHeight="1" spans="1:21">
      <c r="A32" s="13"/>
      <c r="B32" s="14">
        <v>51</v>
      </c>
      <c r="C32" s="15"/>
      <c r="D32" s="15" t="s">
        <v>265</v>
      </c>
      <c r="E32" s="39" t="s">
        <v>99</v>
      </c>
      <c r="F32" s="15" t="s">
        <v>100</v>
      </c>
      <c r="G32" s="15" t="s">
        <v>22</v>
      </c>
      <c r="H32" s="20" t="s">
        <v>58</v>
      </c>
      <c r="I32" s="22" t="s">
        <v>101</v>
      </c>
      <c r="J32" s="23">
        <v>10</v>
      </c>
      <c r="K32" s="20">
        <v>0</v>
      </c>
      <c r="L32" s="16">
        <f t="shared" si="4"/>
        <v>0</v>
      </c>
      <c r="M32" s="17">
        <v>16</v>
      </c>
      <c r="N32" s="14" t="s">
        <v>102</v>
      </c>
      <c r="O32" s="14">
        <v>2026.12</v>
      </c>
      <c r="P32" s="17">
        <v>10</v>
      </c>
      <c r="Q32" s="19"/>
      <c r="R32" s="19"/>
      <c r="S32" s="19"/>
    </row>
    <row r="33" s="1" customFormat="1" customHeight="1" spans="1:19">
      <c r="A33" s="13"/>
      <c r="B33" s="14">
        <v>52</v>
      </c>
      <c r="C33" s="15"/>
      <c r="D33" s="15"/>
      <c r="E33" s="39" t="s">
        <v>103</v>
      </c>
      <c r="F33" s="15" t="s">
        <v>104</v>
      </c>
      <c r="G33" s="15" t="s">
        <v>57</v>
      </c>
      <c r="H33" s="20" t="s">
        <v>23</v>
      </c>
      <c r="I33" s="22" t="s">
        <v>101</v>
      </c>
      <c r="J33" s="23">
        <v>9</v>
      </c>
      <c r="K33" s="20">
        <v>0</v>
      </c>
      <c r="L33" s="16">
        <f t="shared" si="4"/>
        <v>0</v>
      </c>
      <c r="M33" s="17">
        <v>15</v>
      </c>
      <c r="N33" s="14" t="s">
        <v>105</v>
      </c>
      <c r="O33" s="14">
        <v>2026.12</v>
      </c>
      <c r="P33" s="17">
        <v>9</v>
      </c>
      <c r="Q33" s="19"/>
      <c r="R33" s="19"/>
      <c r="S33" s="19"/>
    </row>
    <row r="34" s="1" customFormat="1" customHeight="1" spans="1:19">
      <c r="A34" s="13"/>
      <c r="B34" s="14">
        <v>53</v>
      </c>
      <c r="C34" s="15"/>
      <c r="D34" s="15"/>
      <c r="E34" s="22" t="s">
        <v>266</v>
      </c>
      <c r="F34" s="15" t="s">
        <v>252</v>
      </c>
      <c r="G34" s="15" t="s">
        <v>54</v>
      </c>
      <c r="H34" s="22" t="s">
        <v>33</v>
      </c>
      <c r="I34" s="22" t="s">
        <v>262</v>
      </c>
      <c r="J34" s="23">
        <v>10</v>
      </c>
      <c r="K34" s="20">
        <v>0</v>
      </c>
      <c r="L34" s="16">
        <f t="shared" si="4"/>
        <v>0</v>
      </c>
      <c r="M34" s="17">
        <v>16</v>
      </c>
      <c r="N34" s="14" t="s">
        <v>109</v>
      </c>
      <c r="O34" s="14">
        <v>2026.12</v>
      </c>
      <c r="P34" s="17">
        <v>9</v>
      </c>
      <c r="Q34" s="19"/>
      <c r="R34" s="19"/>
      <c r="S34" s="19"/>
    </row>
    <row r="35" s="1" customFormat="1" customHeight="1" spans="1:19">
      <c r="A35" s="13"/>
      <c r="B35" s="14">
        <v>54</v>
      </c>
      <c r="C35" s="15"/>
      <c r="D35" s="15"/>
      <c r="E35" s="40" t="s">
        <v>106</v>
      </c>
      <c r="F35" s="15" t="s">
        <v>107</v>
      </c>
      <c r="G35" s="15" t="s">
        <v>41</v>
      </c>
      <c r="H35" s="20" t="s">
        <v>58</v>
      </c>
      <c r="I35" s="20" t="s">
        <v>108</v>
      </c>
      <c r="J35" s="20">
        <v>15</v>
      </c>
      <c r="K35" s="20">
        <v>0</v>
      </c>
      <c r="L35" s="16">
        <f t="shared" si="4"/>
        <v>0</v>
      </c>
      <c r="M35" s="17">
        <v>16</v>
      </c>
      <c r="N35" s="14" t="s">
        <v>109</v>
      </c>
      <c r="O35" s="14">
        <v>2026.12</v>
      </c>
      <c r="P35" s="19">
        <v>14</v>
      </c>
      <c r="Q35" s="19"/>
      <c r="R35" s="19"/>
      <c r="S35" s="19"/>
    </row>
    <row r="36" s="1" customFormat="1" customHeight="1" spans="1:19">
      <c r="A36" s="13"/>
      <c r="B36" s="14">
        <v>55</v>
      </c>
      <c r="C36" s="15"/>
      <c r="D36" s="15"/>
      <c r="E36" s="15" t="s">
        <v>267</v>
      </c>
      <c r="F36" s="15" t="s">
        <v>258</v>
      </c>
      <c r="G36" s="15" t="s">
        <v>182</v>
      </c>
      <c r="H36" s="22" t="s">
        <v>23</v>
      </c>
      <c r="I36" s="20" t="s">
        <v>268</v>
      </c>
      <c r="J36" s="41">
        <v>12</v>
      </c>
      <c r="K36" s="41">
        <v>0</v>
      </c>
      <c r="L36" s="16">
        <f t="shared" si="4"/>
        <v>0</v>
      </c>
      <c r="M36" s="17">
        <v>16</v>
      </c>
      <c r="N36" s="14" t="s">
        <v>109</v>
      </c>
      <c r="O36" s="14">
        <v>2026.12</v>
      </c>
      <c r="P36" s="14">
        <v>12</v>
      </c>
      <c r="Q36" s="38"/>
      <c r="R36" s="38"/>
      <c r="S36" s="38"/>
    </row>
    <row r="37" s="1" customFormat="1" customHeight="1" spans="1:19">
      <c r="A37" s="13"/>
      <c r="B37" s="14">
        <v>56</v>
      </c>
      <c r="C37" s="15"/>
      <c r="D37" s="15"/>
      <c r="E37" s="15" t="s">
        <v>269</v>
      </c>
      <c r="F37" s="15" t="s">
        <v>270</v>
      </c>
      <c r="G37" s="15" t="s">
        <v>28</v>
      </c>
      <c r="H37" s="22" t="s">
        <v>23</v>
      </c>
      <c r="I37" s="20" t="s">
        <v>71</v>
      </c>
      <c r="J37" s="41">
        <v>10</v>
      </c>
      <c r="K37" s="41">
        <v>0</v>
      </c>
      <c r="L37" s="16">
        <f t="shared" si="4"/>
        <v>0</v>
      </c>
      <c r="M37" s="17">
        <v>14</v>
      </c>
      <c r="N37" s="14" t="s">
        <v>271</v>
      </c>
      <c r="O37" s="14">
        <v>2027.1</v>
      </c>
      <c r="P37" s="14">
        <v>10</v>
      </c>
      <c r="Q37" s="38"/>
      <c r="R37" s="38"/>
      <c r="S37" s="38"/>
    </row>
    <row r="38" s="1" customFormat="1" customHeight="1" spans="1:19">
      <c r="A38" s="13"/>
      <c r="B38" s="32"/>
      <c r="C38" s="32"/>
      <c r="D38" s="33"/>
      <c r="E38" s="32"/>
      <c r="F38" s="32"/>
      <c r="G38" s="33"/>
      <c r="H38" s="33"/>
      <c r="I38" s="33">
        <v>2026.12</v>
      </c>
      <c r="J38" s="34">
        <f>SUM(J24:J37)</f>
        <v>159</v>
      </c>
      <c r="K38" s="34">
        <f>SUM(K24:K37)</f>
        <v>3</v>
      </c>
      <c r="L38" s="16">
        <f t="shared" si="4"/>
        <v>0.0188679245283019</v>
      </c>
      <c r="M38" s="35"/>
      <c r="N38" s="36"/>
      <c r="O38" s="36"/>
      <c r="P38" s="36">
        <f>SUM(P24:P37)</f>
        <v>155</v>
      </c>
      <c r="Q38" s="38"/>
      <c r="R38" s="38"/>
      <c r="S38" s="38"/>
    </row>
    <row r="40" s="1" customFormat="1" customHeight="1" spans="1:19">
      <c r="B40" s="14">
        <v>37</v>
      </c>
      <c r="C40" s="15"/>
      <c r="D40" s="15"/>
      <c r="E40" s="22" t="s">
        <v>272</v>
      </c>
      <c r="F40" s="30" t="s">
        <v>35</v>
      </c>
      <c r="G40" s="15" t="s">
        <v>179</v>
      </c>
      <c r="H40" s="30" t="s">
        <v>23</v>
      </c>
      <c r="I40" s="22" t="s">
        <v>273</v>
      </c>
      <c r="J40" s="20">
        <v>13</v>
      </c>
      <c r="K40" s="20">
        <v>0</v>
      </c>
      <c r="L40" s="16">
        <f>K40/J40</f>
        <v>0</v>
      </c>
      <c r="M40" s="17">
        <v>23</v>
      </c>
      <c r="N40" s="25" t="s">
        <v>274</v>
      </c>
      <c r="O40" s="14">
        <v>2026.9</v>
      </c>
      <c r="P40" s="25">
        <v>13</v>
      </c>
      <c r="Q40" s="19"/>
      <c r="R40" s="19"/>
      <c r="S40" s="19"/>
    </row>
    <row r="41" s="1" customFormat="1" customHeight="1" spans="1:19"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4"/>
      <c r="Q41" s="19"/>
      <c r="R41" s="19"/>
      <c r="S41" s="19"/>
    </row>
    <row r="42" s="1" customFormat="1" customHeight="1" spans="1:19">
      <c r="B42" s="14">
        <v>34</v>
      </c>
      <c r="C42" s="15"/>
      <c r="D42" s="15"/>
      <c r="E42" s="22" t="s">
        <v>275</v>
      </c>
      <c r="F42" s="30" t="s">
        <v>276</v>
      </c>
      <c r="G42" s="15" t="s">
        <v>48</v>
      </c>
      <c r="H42" s="30" t="s">
        <v>23</v>
      </c>
      <c r="I42" s="22" t="s">
        <v>55</v>
      </c>
      <c r="J42" s="20">
        <v>15</v>
      </c>
      <c r="K42" s="20">
        <v>0</v>
      </c>
      <c r="L42" s="16">
        <f>K42/J42</f>
        <v>0</v>
      </c>
      <c r="M42" s="17">
        <v>23</v>
      </c>
      <c r="N42" s="25" t="s">
        <v>277</v>
      </c>
      <c r="O42" s="14">
        <v>2026.9</v>
      </c>
      <c r="P42" s="25">
        <v>14</v>
      </c>
      <c r="Q42" s="19"/>
      <c r="R42" s="19"/>
      <c r="S42" s="19"/>
    </row>
    <row r="43" s="1" customFormat="1" customHeight="1" spans="1:19">
      <c r="B43" s="14">
        <v>35</v>
      </c>
      <c r="C43" s="15"/>
      <c r="D43" s="15"/>
      <c r="E43" s="22" t="s">
        <v>278</v>
      </c>
      <c r="F43" s="30" t="s">
        <v>60</v>
      </c>
      <c r="G43" s="15" t="s">
        <v>182</v>
      </c>
      <c r="H43" s="30" t="s">
        <v>33</v>
      </c>
      <c r="I43" s="22" t="s">
        <v>55</v>
      </c>
      <c r="J43" s="20">
        <v>14</v>
      </c>
      <c r="K43" s="20">
        <v>0</v>
      </c>
      <c r="L43" s="16">
        <f>K43/J43</f>
        <v>0</v>
      </c>
      <c r="M43" s="17">
        <v>23</v>
      </c>
      <c r="N43" s="25" t="s">
        <v>274</v>
      </c>
      <c r="O43" s="14">
        <v>2026.9</v>
      </c>
      <c r="P43" s="25">
        <v>13</v>
      </c>
      <c r="Q43" s="19" t="s">
        <v>279</v>
      </c>
      <c r="R43" s="19">
        <v>13</v>
      </c>
      <c r="S43" s="19" t="s">
        <v>280</v>
      </c>
    </row>
    <row r="44" s="1" customFormat="1" customHeight="1" spans="1:19">
      <c r="B44" s="14">
        <v>36</v>
      </c>
      <c r="C44" s="15"/>
      <c r="D44" s="15"/>
      <c r="E44" s="22" t="s">
        <v>281</v>
      </c>
      <c r="F44" s="30" t="s">
        <v>47</v>
      </c>
      <c r="G44" s="15" t="s">
        <v>182</v>
      </c>
      <c r="H44" s="30" t="s">
        <v>23</v>
      </c>
      <c r="I44" s="22" t="s">
        <v>55</v>
      </c>
      <c r="J44" s="20">
        <v>14</v>
      </c>
      <c r="K44" s="20">
        <v>0</v>
      </c>
      <c r="L44" s="16">
        <f>K44/J44</f>
        <v>0</v>
      </c>
      <c r="M44" s="17">
        <v>23</v>
      </c>
      <c r="N44" s="25" t="s">
        <v>282</v>
      </c>
      <c r="O44" s="14">
        <v>2026.9</v>
      </c>
      <c r="P44" s="25">
        <v>14</v>
      </c>
      <c r="Q44" s="19"/>
      <c r="R44" s="19"/>
      <c r="S44" s="19"/>
    </row>
    <row r="45" s="1" customFormat="1" customHeight="1" spans="1:19"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4"/>
      <c r="Q45" s="19"/>
      <c r="R45" s="19"/>
      <c r="S45" s="19"/>
    </row>
    <row r="46" s="1" customFormat="1" customHeight="1" spans="1:19">
      <c r="B46" s="14">
        <v>29</v>
      </c>
      <c r="C46" s="15"/>
      <c r="D46" s="15"/>
      <c r="E46" s="22" t="s">
        <v>283</v>
      </c>
      <c r="F46" s="30" t="s">
        <v>276</v>
      </c>
      <c r="G46" s="15" t="s">
        <v>54</v>
      </c>
      <c r="H46" s="22" t="s">
        <v>33</v>
      </c>
      <c r="I46" s="22" t="s">
        <v>49</v>
      </c>
      <c r="J46" s="20">
        <v>13</v>
      </c>
      <c r="K46" s="20">
        <v>0</v>
      </c>
      <c r="L46" s="16">
        <f t="shared" ref="L46:L52" si="5">K46/J46</f>
        <v>0</v>
      </c>
      <c r="M46" s="17">
        <v>23</v>
      </c>
      <c r="N46" s="25" t="s">
        <v>284</v>
      </c>
      <c r="O46" s="14">
        <v>2026.9</v>
      </c>
      <c r="P46" s="25">
        <v>13</v>
      </c>
      <c r="Q46" s="19"/>
      <c r="R46" s="19"/>
      <c r="S46" s="19"/>
    </row>
    <row r="47" s="1" customFormat="1" customHeight="1" spans="1:19">
      <c r="B47" s="14">
        <v>30</v>
      </c>
      <c r="C47" s="15"/>
      <c r="D47" s="15"/>
      <c r="E47" s="22" t="s">
        <v>285</v>
      </c>
      <c r="F47" s="30" t="s">
        <v>35</v>
      </c>
      <c r="G47" s="15" t="s">
        <v>48</v>
      </c>
      <c r="H47" s="20" t="s">
        <v>23</v>
      </c>
      <c r="I47" s="22" t="s">
        <v>49</v>
      </c>
      <c r="J47" s="20">
        <v>14</v>
      </c>
      <c r="K47" s="20">
        <v>0</v>
      </c>
      <c r="L47" s="16">
        <f t="shared" si="5"/>
        <v>0</v>
      </c>
      <c r="M47" s="17">
        <v>23</v>
      </c>
      <c r="N47" s="25" t="s">
        <v>277</v>
      </c>
      <c r="O47" s="14">
        <v>2026.9</v>
      </c>
      <c r="P47" s="25">
        <v>14</v>
      </c>
      <c r="Q47" s="19"/>
      <c r="R47" s="19"/>
      <c r="S47" s="19"/>
    </row>
    <row r="48" s="1" customFormat="1" customHeight="1" spans="1:19">
      <c r="B48" s="14">
        <v>31</v>
      </c>
      <c r="C48" s="15"/>
      <c r="D48" s="15"/>
      <c r="E48" s="39" t="s">
        <v>286</v>
      </c>
      <c r="F48" s="30" t="s">
        <v>40</v>
      </c>
      <c r="G48" s="15" t="s">
        <v>48</v>
      </c>
      <c r="H48" s="22" t="s">
        <v>33</v>
      </c>
      <c r="I48" s="22" t="s">
        <v>49</v>
      </c>
      <c r="J48" s="20">
        <v>10</v>
      </c>
      <c r="K48" s="20">
        <v>0</v>
      </c>
      <c r="L48" s="16">
        <f t="shared" si="5"/>
        <v>0</v>
      </c>
      <c r="M48" s="17">
        <v>23</v>
      </c>
      <c r="N48" s="25" t="s">
        <v>287</v>
      </c>
      <c r="O48" s="14">
        <v>2026.9</v>
      </c>
      <c r="P48" s="25">
        <v>9</v>
      </c>
      <c r="Q48" s="19"/>
      <c r="R48" s="19"/>
      <c r="S48" s="19"/>
    </row>
    <row r="49" s="1" customFormat="1" customHeight="1" spans="2:19">
      <c r="B49" s="14">
        <v>27</v>
      </c>
      <c r="C49" s="15"/>
      <c r="D49" s="15" t="s">
        <v>288</v>
      </c>
      <c r="E49" s="39" t="s">
        <v>289</v>
      </c>
      <c r="F49" s="22" t="s">
        <v>51</v>
      </c>
      <c r="G49" s="15" t="s">
        <v>186</v>
      </c>
      <c r="H49" s="23" t="s">
        <v>33</v>
      </c>
      <c r="I49" s="22" t="s">
        <v>49</v>
      </c>
      <c r="J49" s="20">
        <v>9</v>
      </c>
      <c r="K49" s="20">
        <v>0</v>
      </c>
      <c r="L49" s="16">
        <f t="shared" si="5"/>
        <v>0</v>
      </c>
      <c r="M49" s="17">
        <v>23</v>
      </c>
      <c r="N49" s="25" t="s">
        <v>277</v>
      </c>
      <c r="O49" s="14">
        <v>2026.9</v>
      </c>
      <c r="P49" s="25">
        <v>8</v>
      </c>
      <c r="Q49" s="19"/>
      <c r="R49" s="19"/>
      <c r="S49" s="19"/>
    </row>
    <row r="50" s="1" customFormat="1" customHeight="1" spans="2:19">
      <c r="B50" s="14">
        <v>38</v>
      </c>
      <c r="C50" s="15"/>
      <c r="D50" s="15"/>
      <c r="E50" s="22" t="s">
        <v>290</v>
      </c>
      <c r="F50" s="30" t="s">
        <v>104</v>
      </c>
      <c r="G50" s="15" t="s">
        <v>61</v>
      </c>
      <c r="H50" s="20" t="s">
        <v>33</v>
      </c>
      <c r="I50" s="22" t="s">
        <v>66</v>
      </c>
      <c r="J50" s="20">
        <v>12</v>
      </c>
      <c r="K50" s="20">
        <v>2</v>
      </c>
      <c r="L50" s="16">
        <f t="shared" si="5"/>
        <v>0.166666666666667</v>
      </c>
      <c r="M50" s="17">
        <v>3</v>
      </c>
      <c r="N50" s="25" t="s">
        <v>291</v>
      </c>
      <c r="O50" s="14">
        <v>2026.9</v>
      </c>
      <c r="P50" s="25">
        <v>13</v>
      </c>
      <c r="Q50" s="19"/>
      <c r="R50" s="19"/>
      <c r="S50" s="19"/>
    </row>
    <row r="51" s="1" customFormat="1" customHeight="1" spans="2:19">
      <c r="B51" s="14">
        <v>39</v>
      </c>
      <c r="C51" s="15"/>
      <c r="D51" s="15"/>
      <c r="E51" s="22" t="s">
        <v>290</v>
      </c>
      <c r="F51" s="30" t="s">
        <v>21</v>
      </c>
      <c r="G51" s="15" t="s">
        <v>188</v>
      </c>
      <c r="H51" s="20" t="s">
        <v>33</v>
      </c>
      <c r="I51" s="22" t="s">
        <v>66</v>
      </c>
      <c r="J51" s="20">
        <v>13</v>
      </c>
      <c r="K51" s="20">
        <v>1</v>
      </c>
      <c r="L51" s="16">
        <f t="shared" si="5"/>
        <v>0.0769230769230769</v>
      </c>
      <c r="M51" s="17">
        <v>3</v>
      </c>
      <c r="N51" s="25" t="s">
        <v>291</v>
      </c>
      <c r="O51" s="14">
        <v>2026.9</v>
      </c>
      <c r="P51" s="25">
        <v>13</v>
      </c>
      <c r="Q51" s="19"/>
      <c r="R51" s="19"/>
      <c r="S51" s="19"/>
    </row>
    <row r="52" s="1" customFormat="1" customHeight="1" spans="2:19">
      <c r="B52" s="14">
        <v>40</v>
      </c>
      <c r="C52" s="15"/>
      <c r="D52" s="15"/>
      <c r="E52" s="22" t="s">
        <v>292</v>
      </c>
      <c r="F52" s="30" t="s">
        <v>40</v>
      </c>
      <c r="G52" s="15" t="s">
        <v>97</v>
      </c>
      <c r="H52" s="30" t="s">
        <v>23</v>
      </c>
      <c r="I52" s="22" t="s">
        <v>66</v>
      </c>
      <c r="J52" s="20">
        <v>14</v>
      </c>
      <c r="K52" s="20">
        <v>2</v>
      </c>
      <c r="L52" s="16">
        <f t="shared" si="5"/>
        <v>0.142857142857143</v>
      </c>
      <c r="M52" s="17">
        <v>3</v>
      </c>
      <c r="N52" s="25" t="s">
        <v>293</v>
      </c>
      <c r="O52" s="14">
        <v>2026.9</v>
      </c>
      <c r="P52" s="25">
        <v>14</v>
      </c>
      <c r="Q52" s="19"/>
      <c r="R52" s="19"/>
      <c r="S52" s="19"/>
    </row>
    <row r="53" s="1" customFormat="1" customHeight="1" spans="2:19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  <c r="Q53" s="19"/>
      <c r="R53" s="19"/>
      <c r="S53" s="19"/>
    </row>
    <row r="54" s="1" customFormat="1" customHeight="1" spans="2:19">
      <c r="B54" s="14">
        <v>26</v>
      </c>
      <c r="C54" s="15"/>
      <c r="D54" s="15"/>
      <c r="E54" s="22" t="s">
        <v>156</v>
      </c>
      <c r="F54" s="22" t="s">
        <v>276</v>
      </c>
      <c r="G54" s="29" t="s">
        <v>36</v>
      </c>
      <c r="H54" s="22" t="s">
        <v>33</v>
      </c>
      <c r="I54" s="22" t="s">
        <v>37</v>
      </c>
      <c r="J54" s="20">
        <v>14</v>
      </c>
      <c r="K54" s="20">
        <v>1</v>
      </c>
      <c r="L54" s="16">
        <f>K54/J54</f>
        <v>0.0714285714285714</v>
      </c>
      <c r="M54" s="17">
        <v>23</v>
      </c>
      <c r="N54" s="25" t="s">
        <v>284</v>
      </c>
      <c r="O54" s="14">
        <v>2026.9</v>
      </c>
      <c r="P54" s="25">
        <v>14</v>
      </c>
      <c r="Q54" s="19"/>
      <c r="R54" s="19"/>
      <c r="S54" s="19"/>
    </row>
    <row r="55" s="1" customFormat="1" customHeight="1" spans="2:19">
      <c r="B55" s="14">
        <v>32</v>
      </c>
      <c r="C55" s="15"/>
      <c r="D55" s="15"/>
      <c r="E55" s="22" t="s">
        <v>294</v>
      </c>
      <c r="F55" s="30" t="s">
        <v>104</v>
      </c>
      <c r="G55" s="15" t="s">
        <v>41</v>
      </c>
      <c r="H55" s="22" t="s">
        <v>58</v>
      </c>
      <c r="I55" s="22" t="s">
        <v>37</v>
      </c>
      <c r="J55" s="20">
        <v>14</v>
      </c>
      <c r="K55" s="20">
        <v>9</v>
      </c>
      <c r="L55" s="16">
        <f>K55/J55</f>
        <v>0.642857142857143</v>
      </c>
      <c r="M55" s="17">
        <v>23</v>
      </c>
      <c r="N55" s="25" t="s">
        <v>295</v>
      </c>
      <c r="O55" s="14">
        <v>2026.9</v>
      </c>
      <c r="P55" s="25">
        <v>12</v>
      </c>
      <c r="Q55" s="19"/>
      <c r="R55" s="19"/>
      <c r="S55" s="19"/>
    </row>
    <row r="56" s="1" customFormat="1" customHeight="1" spans="2:19">
      <c r="B56" s="14">
        <v>33</v>
      </c>
      <c r="C56" s="15"/>
      <c r="D56" s="15" t="s">
        <v>296</v>
      </c>
      <c r="E56" s="45" t="s">
        <v>297</v>
      </c>
      <c r="F56" s="30" t="s">
        <v>298</v>
      </c>
      <c r="G56" s="15" t="s">
        <v>61</v>
      </c>
      <c r="H56" s="22" t="s">
        <v>58</v>
      </c>
      <c r="I56" s="22" t="s">
        <v>37</v>
      </c>
      <c r="J56" s="20">
        <v>12</v>
      </c>
      <c r="K56" s="20">
        <v>6</v>
      </c>
      <c r="L56" s="16">
        <f>K56/J56</f>
        <v>0.5</v>
      </c>
      <c r="M56" s="17">
        <v>23</v>
      </c>
      <c r="N56" s="25" t="s">
        <v>299</v>
      </c>
      <c r="O56" s="14">
        <v>2026.9</v>
      </c>
      <c r="P56" s="25">
        <v>11</v>
      </c>
      <c r="Q56" s="19"/>
      <c r="R56" s="19"/>
      <c r="S56" s="19"/>
    </row>
    <row r="57" s="1" customFormat="1" customHeight="1" spans="2:19"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4"/>
      <c r="Q57" s="19"/>
      <c r="R57" s="19"/>
      <c r="S57" s="19"/>
    </row>
    <row r="58" s="1" customFormat="1" customHeight="1" spans="2:19">
      <c r="B58" s="14">
        <v>28</v>
      </c>
      <c r="C58" s="15"/>
      <c r="D58" s="15"/>
      <c r="E58" s="22" t="s">
        <v>300</v>
      </c>
      <c r="F58" s="15" t="s">
        <v>21</v>
      </c>
      <c r="G58" s="15" t="s">
        <v>57</v>
      </c>
      <c r="H58" s="23" t="s">
        <v>33</v>
      </c>
      <c r="I58" s="22" t="s">
        <v>24</v>
      </c>
      <c r="J58" s="20">
        <v>14</v>
      </c>
      <c r="K58" s="20">
        <v>9</v>
      </c>
      <c r="L58" s="16">
        <f>K58/J58</f>
        <v>0.642857142857143</v>
      </c>
      <c r="M58" s="17">
        <v>23</v>
      </c>
      <c r="N58" s="25" t="s">
        <v>295</v>
      </c>
      <c r="O58" s="14">
        <v>2026.9</v>
      </c>
      <c r="P58" s="25">
        <v>11</v>
      </c>
      <c r="Q58" s="19"/>
      <c r="R58" s="19"/>
      <c r="S58" s="19"/>
    </row>
    <row r="59" s="1" customFormat="1" customHeight="1" spans="2:19">
      <c r="B59" s="14">
        <v>23</v>
      </c>
      <c r="C59" s="15"/>
      <c r="D59" s="15"/>
      <c r="E59" s="15" t="s">
        <v>301</v>
      </c>
      <c r="F59" s="15" t="s">
        <v>252</v>
      </c>
      <c r="G59" s="15" t="s">
        <v>186</v>
      </c>
      <c r="H59" s="20" t="s">
        <v>23</v>
      </c>
      <c r="I59" s="20" t="s">
        <v>24</v>
      </c>
      <c r="J59" s="20">
        <v>13</v>
      </c>
      <c r="K59" s="20">
        <v>0</v>
      </c>
      <c r="L59" s="16">
        <f>K59/J59</f>
        <v>0</v>
      </c>
      <c r="M59" s="17">
        <v>23</v>
      </c>
      <c r="N59" s="14" t="s">
        <v>295</v>
      </c>
      <c r="O59" s="14">
        <v>2026.9</v>
      </c>
      <c r="P59" s="19">
        <v>12</v>
      </c>
      <c r="Q59" s="19"/>
      <c r="R59" s="19"/>
      <c r="S59" s="19"/>
    </row>
    <row r="60" s="1" customFormat="1" customHeight="1" spans="2:19"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4"/>
      <c r="Q60" s="19"/>
      <c r="R60" s="19"/>
      <c r="S60" s="19"/>
    </row>
    <row r="61" s="1" customFormat="1" customHeight="1" spans="2:19">
      <c r="B61" s="14">
        <v>18</v>
      </c>
      <c r="C61" s="15"/>
      <c r="D61" s="15"/>
      <c r="E61" s="15" t="s">
        <v>302</v>
      </c>
      <c r="F61" s="15" t="s">
        <v>53</v>
      </c>
      <c r="G61" s="15" t="s">
        <v>170</v>
      </c>
      <c r="H61" s="23" t="s">
        <v>33</v>
      </c>
      <c r="I61" s="20" t="s">
        <v>29</v>
      </c>
      <c r="J61" s="20">
        <v>10</v>
      </c>
      <c r="K61" s="20">
        <v>0</v>
      </c>
      <c r="L61" s="16">
        <f>K61/J61</f>
        <v>0</v>
      </c>
      <c r="M61" s="17">
        <v>23</v>
      </c>
      <c r="N61" s="14" t="s">
        <v>277</v>
      </c>
      <c r="O61" s="14">
        <v>2026.9</v>
      </c>
      <c r="P61" s="19">
        <v>9</v>
      </c>
      <c r="Q61" s="17" t="s">
        <v>279</v>
      </c>
      <c r="R61" s="17">
        <v>9</v>
      </c>
      <c r="S61" s="19" t="s">
        <v>303</v>
      </c>
    </row>
    <row r="62" s="1" customFormat="1" customHeight="1" spans="2:19">
      <c r="B62" s="14">
        <v>25</v>
      </c>
      <c r="C62" s="15"/>
      <c r="D62" s="15"/>
      <c r="E62" s="39" t="s">
        <v>304</v>
      </c>
      <c r="F62" s="22" t="s">
        <v>100</v>
      </c>
      <c r="G62" s="15" t="s">
        <v>123</v>
      </c>
      <c r="H62" s="20" t="s">
        <v>33</v>
      </c>
      <c r="I62" s="20" t="s">
        <v>29</v>
      </c>
      <c r="J62" s="20">
        <v>11</v>
      </c>
      <c r="K62" s="20">
        <v>0</v>
      </c>
      <c r="L62" s="16">
        <f>K62/J62</f>
        <v>0</v>
      </c>
      <c r="M62" s="17">
        <v>23</v>
      </c>
      <c r="N62" s="25" t="s">
        <v>305</v>
      </c>
      <c r="O62" s="14">
        <v>2026.9</v>
      </c>
      <c r="P62" s="25">
        <v>8</v>
      </c>
      <c r="Q62" s="19"/>
      <c r="R62" s="19"/>
      <c r="S62" s="19"/>
    </row>
    <row r="63" s="1" customFormat="1" customHeight="1" spans="2:19">
      <c r="B63" s="14">
        <v>19</v>
      </c>
      <c r="C63" s="15"/>
      <c r="D63" s="15"/>
      <c r="E63" s="15" t="s">
        <v>306</v>
      </c>
      <c r="F63" s="15" t="s">
        <v>51</v>
      </c>
      <c r="G63" s="15" t="s">
        <v>70</v>
      </c>
      <c r="H63" s="23" t="s">
        <v>33</v>
      </c>
      <c r="I63" s="20" t="s">
        <v>29</v>
      </c>
      <c r="J63" s="20">
        <v>14</v>
      </c>
      <c r="K63" s="20">
        <v>0</v>
      </c>
      <c r="L63" s="16">
        <f>K63/J63</f>
        <v>0</v>
      </c>
      <c r="M63" s="17">
        <v>23</v>
      </c>
      <c r="N63" s="14" t="s">
        <v>277</v>
      </c>
      <c r="O63" s="14">
        <v>2026.9</v>
      </c>
      <c r="P63" s="19">
        <v>14</v>
      </c>
      <c r="Q63" s="19"/>
      <c r="R63" s="19"/>
      <c r="S63" s="19"/>
    </row>
    <row r="64" s="1" customFormat="1" customHeight="1" spans="2:19">
      <c r="B64" s="14">
        <v>22</v>
      </c>
      <c r="C64" s="15"/>
      <c r="D64" s="15"/>
      <c r="E64" s="15" t="s">
        <v>307</v>
      </c>
      <c r="F64" s="15" t="s">
        <v>51</v>
      </c>
      <c r="G64" s="15" t="s">
        <v>22</v>
      </c>
      <c r="H64" s="23" t="s">
        <v>33</v>
      </c>
      <c r="I64" s="20" t="s">
        <v>29</v>
      </c>
      <c r="J64" s="20">
        <v>17</v>
      </c>
      <c r="K64" s="20">
        <v>0</v>
      </c>
      <c r="L64" s="16">
        <f>K64/J64</f>
        <v>0</v>
      </c>
      <c r="M64" s="17">
        <v>23</v>
      </c>
      <c r="N64" s="14" t="s">
        <v>277</v>
      </c>
      <c r="O64" s="14">
        <v>2026.9</v>
      </c>
      <c r="P64" s="19">
        <v>13</v>
      </c>
      <c r="Q64" s="19">
        <v>4</v>
      </c>
      <c r="R64" s="19">
        <v>13</v>
      </c>
      <c r="S64" s="19" t="s">
        <v>308</v>
      </c>
    </row>
    <row r="65" s="1" customFormat="1" customHeight="1" spans="2:19"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4"/>
      <c r="Q65" s="19"/>
      <c r="R65" s="19"/>
      <c r="S65" s="19"/>
    </row>
    <row r="66" s="1" customFormat="1" customHeight="1" spans="2:19">
      <c r="B66" s="14">
        <v>20</v>
      </c>
      <c r="C66" s="15"/>
      <c r="D66" s="15"/>
      <c r="E66" s="40" t="s">
        <v>309</v>
      </c>
      <c r="F66" s="15" t="s">
        <v>310</v>
      </c>
      <c r="G66" s="15" t="s">
        <v>191</v>
      </c>
      <c r="H66" s="20" t="s">
        <v>33</v>
      </c>
      <c r="I66" s="20" t="s">
        <v>256</v>
      </c>
      <c r="J66" s="20">
        <v>9</v>
      </c>
      <c r="K66" s="20">
        <v>0</v>
      </c>
      <c r="L66" s="16">
        <f>K66/J66</f>
        <v>0</v>
      </c>
      <c r="M66" s="17">
        <v>26</v>
      </c>
      <c r="N66" s="14" t="s">
        <v>282</v>
      </c>
      <c r="O66" s="14">
        <v>2026.9</v>
      </c>
      <c r="P66" s="19">
        <v>9</v>
      </c>
      <c r="Q66" s="19">
        <v>1</v>
      </c>
      <c r="R66" s="19">
        <v>8</v>
      </c>
      <c r="S66" s="19" t="s">
        <v>308</v>
      </c>
    </row>
    <row r="67" s="1" customFormat="1" customHeight="1" spans="2:19">
      <c r="B67" s="14">
        <v>21</v>
      </c>
      <c r="C67" s="15"/>
      <c r="D67" s="15"/>
      <c r="E67" s="15" t="s">
        <v>311</v>
      </c>
      <c r="F67" s="15" t="s">
        <v>312</v>
      </c>
      <c r="G67" s="15" t="s">
        <v>191</v>
      </c>
      <c r="H67" s="20" t="s">
        <v>23</v>
      </c>
      <c r="I67" s="20" t="s">
        <v>256</v>
      </c>
      <c r="J67" s="20">
        <v>13</v>
      </c>
      <c r="K67" s="20">
        <v>0</v>
      </c>
      <c r="L67" s="16">
        <f>K67/J67</f>
        <v>0</v>
      </c>
      <c r="M67" s="17">
        <v>26</v>
      </c>
      <c r="N67" s="14" t="s">
        <v>295</v>
      </c>
      <c r="O67" s="14">
        <v>2026.9</v>
      </c>
      <c r="P67" s="19">
        <v>12</v>
      </c>
      <c r="Q67" s="19">
        <v>1</v>
      </c>
      <c r="R67" s="19">
        <v>13</v>
      </c>
      <c r="S67" s="19" t="s">
        <v>308</v>
      </c>
    </row>
    <row r="68" s="1" customFormat="1" customHeight="1" spans="2:19">
      <c r="B68" s="14">
        <v>24</v>
      </c>
      <c r="C68" s="15"/>
      <c r="D68" s="15"/>
      <c r="E68" s="15" t="s">
        <v>313</v>
      </c>
      <c r="F68" s="15" t="s">
        <v>314</v>
      </c>
      <c r="G68" s="15" t="s">
        <v>315</v>
      </c>
      <c r="H68" s="20" t="s">
        <v>23</v>
      </c>
      <c r="I68" s="20" t="s">
        <v>256</v>
      </c>
      <c r="J68" s="23">
        <v>14</v>
      </c>
      <c r="K68" s="20">
        <v>0</v>
      </c>
      <c r="L68" s="16">
        <f>K68/J68</f>
        <v>0</v>
      </c>
      <c r="M68" s="17">
        <v>26</v>
      </c>
      <c r="N68" s="14" t="s">
        <v>295</v>
      </c>
      <c r="O68" s="14">
        <v>2026.9</v>
      </c>
      <c r="P68" s="17">
        <v>14</v>
      </c>
      <c r="Q68" s="19"/>
      <c r="R68" s="19"/>
      <c r="S68" s="19"/>
    </row>
    <row r="69" s="1" customFormat="1" customHeight="1" spans="2:19">
      <c r="B69" s="4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4"/>
      <c r="Q69" s="19"/>
      <c r="R69" s="19"/>
      <c r="S69" s="19"/>
    </row>
    <row r="70" s="1" customFormat="1" customHeight="1" spans="2:19">
      <c r="B70" s="14">
        <v>41</v>
      </c>
      <c r="C70" s="15"/>
      <c r="D70" s="15"/>
      <c r="E70" s="15" t="s">
        <v>316</v>
      </c>
      <c r="F70" s="15" t="s">
        <v>312</v>
      </c>
      <c r="G70" s="15" t="s">
        <v>28</v>
      </c>
      <c r="H70" s="20" t="s">
        <v>58</v>
      </c>
      <c r="I70" s="20" t="s">
        <v>71</v>
      </c>
      <c r="J70" s="23">
        <v>12</v>
      </c>
      <c r="K70" s="20">
        <v>0</v>
      </c>
      <c r="L70" s="16">
        <f>K70/J70</f>
        <v>0</v>
      </c>
      <c r="M70" s="17">
        <v>24</v>
      </c>
      <c r="N70" s="14" t="s">
        <v>317</v>
      </c>
      <c r="O70" s="46">
        <v>2026.1</v>
      </c>
      <c r="P70" s="17">
        <v>11</v>
      </c>
      <c r="Q70" s="19"/>
      <c r="R70" s="19"/>
      <c r="S70" s="19"/>
    </row>
    <row r="71" s="1" customFormat="1" customHeight="1" spans="2:19">
      <c r="B71" s="42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4"/>
      <c r="Q71" s="19"/>
      <c r="R71" s="19"/>
      <c r="S71" s="19"/>
    </row>
    <row r="72" s="1" customFormat="1" customHeight="1" spans="2:19">
      <c r="B72" s="14">
        <v>42</v>
      </c>
      <c r="C72" s="15"/>
      <c r="D72" s="15"/>
      <c r="E72" s="15" t="s">
        <v>318</v>
      </c>
      <c r="F72" s="15" t="s">
        <v>319</v>
      </c>
      <c r="G72" s="15" t="s">
        <v>320</v>
      </c>
      <c r="H72" s="20" t="s">
        <v>33</v>
      </c>
      <c r="I72" s="20" t="s">
        <v>321</v>
      </c>
      <c r="J72" s="23">
        <v>11</v>
      </c>
      <c r="K72" s="20">
        <v>0</v>
      </c>
      <c r="L72" s="16">
        <f>K72/J72</f>
        <v>0</v>
      </c>
      <c r="M72" s="17">
        <v>21</v>
      </c>
      <c r="N72" s="14" t="s">
        <v>322</v>
      </c>
      <c r="O72" s="46">
        <v>2026.1</v>
      </c>
      <c r="P72" s="17">
        <v>11</v>
      </c>
      <c r="Q72" s="19"/>
      <c r="R72" s="19"/>
      <c r="S72" s="19"/>
    </row>
  </sheetData>
  <mergeCells count="11">
    <mergeCell ref="B1:U1"/>
    <mergeCell ref="B41:P41"/>
    <mergeCell ref="B45:P45"/>
    <mergeCell ref="B53:P53"/>
    <mergeCell ref="B57:P57"/>
    <mergeCell ref="B60:P60"/>
    <mergeCell ref="B65:P65"/>
    <mergeCell ref="B69:P69"/>
    <mergeCell ref="B71:P71"/>
    <mergeCell ref="A3:A22"/>
    <mergeCell ref="A24:A3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升班数据</vt:lpstr>
      <vt:lpstr>老师 </vt:lpstr>
      <vt:lpstr>5月计划</vt:lpstr>
      <vt:lpstr>执行力看板</vt:lpstr>
      <vt:lpstr>听课</vt:lpstr>
      <vt:lpstr>升班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浅蓝</cp:lastModifiedBy>
  <dcterms:created xsi:type="dcterms:W3CDTF">2006-09-16T00:00:00Z</dcterms:created>
  <dcterms:modified xsi:type="dcterms:W3CDTF">2026-05-09T01:40:03Z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9C648857A5A5428BBB5D47B8DE0B63AA_12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