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firstSheet="1"/>
  </bookViews>
  <sheets>
    <sheet name="课程顾问" sheetId="1" r:id="rId1"/>
    <sheet name="销售经理月度绩效" sheetId="2" r:id="rId2"/>
    <sheet name="销售管培生" sheetId="7" state="hidden" r:id="rId3"/>
    <sheet name="运营培训师" sheetId="8" state="hidden" r:id="rId4"/>
    <sheet name="销售经理" sheetId="9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<sst xmlns="http://schemas.openxmlformats.org/spreadsheetml/2006/main" count="163" uniqueCount="135">
  <si>
    <t>单量</t>
  </si>
  <si>
    <t>单量提成标准</t>
  </si>
  <si>
    <t>单量提成总数</t>
  </si>
  <si>
    <t>顾问月度底薪</t>
  </si>
  <si>
    <t>实发薪资合计</t>
  </si>
  <si>
    <t>Rebuy绩效</t>
  </si>
  <si>
    <t>计发标准</t>
  </si>
  <si>
    <t>续费金额＜60%</t>
  </si>
  <si>
    <t>续费总业绩*1%，下季度的新生人头减50</t>
  </si>
  <si>
    <t>续费金额在60%--70%</t>
  </si>
  <si>
    <t>续费总业绩*1%</t>
  </si>
  <si>
    <t>续费金额＞总金额的70%</t>
  </si>
  <si>
    <t>续费总业绩*2%</t>
  </si>
  <si>
    <t>一、薪资构成</t>
  </si>
  <si>
    <t>岗位名称</t>
  </si>
  <si>
    <t>职级</t>
  </si>
  <si>
    <t>底薪</t>
  </si>
  <si>
    <t>月度岗位绩效</t>
  </si>
  <si>
    <t>个人提成</t>
  </si>
  <si>
    <t>月度完标奖金</t>
  </si>
  <si>
    <t>季度绩效奖金=绩效基数*绩效系数</t>
  </si>
  <si>
    <t>季度自创资源奖</t>
  </si>
  <si>
    <t>绩效基数</t>
  </si>
  <si>
    <t>绩效系数</t>
  </si>
  <si>
    <t>销售经理</t>
  </si>
  <si>
    <t>T4</t>
  </si>
  <si>
    <t>销售经理4单以下每单200
4单以上和顾问一样跳人头</t>
  </si>
  <si>
    <t>达一标 2000
达二标 2500
达三标 3000
未达标 0</t>
  </si>
  <si>
    <t>以完标的业绩为基数：
①业绩一标90%及以下，绩效基数=0
②达业绩一标90%以上（不含90%）：绩效基数=业绩*0.15%
③达业绩一标：绩效基数=业绩*0.2%
④达业绩二标：绩效基数=业绩*0.3%
⑤超业绩二标：绩效基数=二标业绩*0.3%+超标业绩*1%</t>
  </si>
  <si>
    <t>得分=5，系数=1.5
4≤得分＜5，系数=1.2
3≤得分＜4，系数=1
2≤得分＜3，系数=0.7
0≤得分＜2，系数=0</t>
  </si>
  <si>
    <t>1.X=自创资源占比季度净增人头的比例（按小数点后两位四舍五入),例：16.75%四舍五入为16.8%
2.若X&lt;45%, 按 (45-100*X)*200 扣除奖金
3.若X&gt;45%, 按 (100*X-45)*200 额外奖励
4.扣除金额封顶为季度奖金基数的40%</t>
  </si>
  <si>
    <t>T5（Sherry）</t>
  </si>
  <si>
    <t>T6</t>
  </si>
  <si>
    <t>二、月度评分表：可根据业务实际情况做月度调整</t>
  </si>
  <si>
    <t>考核指标</t>
  </si>
  <si>
    <t>权重</t>
  </si>
  <si>
    <t>金额</t>
  </si>
  <si>
    <t>要求</t>
  </si>
  <si>
    <t>回收方式</t>
  </si>
  <si>
    <t>奖金</t>
  </si>
  <si>
    <t>ccm电话时长</t>
  </si>
  <si>
    <t>每周电话时长不低于2小时</t>
  </si>
  <si>
    <t>周报提交周度电话时长截图</t>
  </si>
  <si>
    <t>电话录音</t>
  </si>
  <si>
    <t>每周抽查当周重点（B以上）app电话录音，周抽查重点电话录音数量不低于6条</t>
  </si>
  <si>
    <t>将录音分析写到周备单表里，
随周报提交电话周录音备单表</t>
  </si>
  <si>
    <t>盘单</t>
  </si>
  <si>
    <t>demo前盘单
demo后复盘</t>
  </si>
  <si>
    <t>1）按盘单思路图
盘单前再备单表里填写盘单思路
2）复盘后，在数据分析表格里写清未报名原因及跟踪方案
（touch节点、方式、目标）
3）每周二随周报打包提交</t>
  </si>
  <si>
    <t>ccm成单</t>
  </si>
  <si>
    <t>月度成单数量不低于4单</t>
  </si>
  <si>
    <t>——</t>
  </si>
  <si>
    <t>汇总</t>
  </si>
  <si>
    <t>总金额</t>
  </si>
  <si>
    <t>三、成单人头奖金</t>
  </si>
  <si>
    <t>新生数</t>
  </si>
  <si>
    <t>1-6</t>
  </si>
  <si>
    <t>7-8</t>
  </si>
  <si>
    <t>9-10</t>
  </si>
  <si>
    <t>11-12</t>
  </si>
  <si>
    <t>13-14</t>
  </si>
  <si>
    <t>单个新生人头奖金</t>
  </si>
  <si>
    <t>四、季度绩效表</t>
  </si>
  <si>
    <t>季度考核表</t>
  </si>
  <si>
    <t>描述</t>
  </si>
  <si>
    <t>衡量指标</t>
  </si>
  <si>
    <t>分值</t>
  </si>
  <si>
    <t>评分</t>
  </si>
  <si>
    <t>得分理由</t>
  </si>
  <si>
    <t>满班开班率</t>
  </si>
  <si>
    <t>当季度开班的平均人数</t>
  </si>
  <si>
    <t>开班平均人数是14</t>
  </si>
  <si>
    <t>开班平均人数是13.5</t>
  </si>
  <si>
    <t>开班平均人数是13</t>
  </si>
  <si>
    <t>开班平均人数是12.5</t>
  </si>
  <si>
    <t>未达成以上标准</t>
  </si>
  <si>
    <t>季度销售团队自创资源</t>
  </si>
  <si>
    <t>（确认有效的销售顾问ref+自采单）占比季度净增人头的45%</t>
  </si>
  <si>
    <t>≥55%</t>
  </si>
  <si>
    <t>大于50%（含）</t>
  </si>
  <si>
    <t>大于45%（含）</t>
  </si>
  <si>
    <t>大于40%（含）</t>
  </si>
  <si>
    <t>低于40%</t>
  </si>
  <si>
    <t>团队人效</t>
  </si>
  <si>
    <t>顾问平均单产人头数                              团队实际完成数/顾问人数                                    销售经理和入职新顾问3个月分子分母不计数，既销售经理和新顾问人头新招人头不算，新顾问不计入顾问总数。</t>
  </si>
  <si>
    <t>20（不含）以上</t>
  </si>
  <si>
    <t>15-20（含）</t>
  </si>
  <si>
    <t>10—15（含）单</t>
  </si>
  <si>
    <t>7—9（含）单</t>
  </si>
  <si>
    <t>小于7单</t>
  </si>
  <si>
    <t>五、自创单季度奖金</t>
  </si>
  <si>
    <r>
      <rPr>
        <sz val="10"/>
        <color rgb="FF000000"/>
        <rFont val="微软雅黑"/>
        <charset val="134"/>
      </rPr>
      <t xml:space="preserve">季度自创资源奖
1.X=自创资源占比季度净增人头的比例（按小数点后两位四舍五入),例：16.75%四舍五入为16.8%
2.若X&lt;40%, 按 (45-100*X)*200 扣除奖金基数
3.若X&gt;40%, 按 (100*X-40)*200 额外奖励
</t>
    </r>
    <r>
      <rPr>
        <sz val="10"/>
        <color rgb="FFFF0000"/>
        <rFont val="微软雅黑"/>
        <charset val="134"/>
      </rPr>
      <t>4.扣除金额封顶为季度奖金基数的40%</t>
    </r>
  </si>
  <si>
    <t>月份</t>
  </si>
  <si>
    <t>一标</t>
  </si>
  <si>
    <t>净增</t>
  </si>
  <si>
    <t>计发标准（达标600元）</t>
  </si>
  <si>
    <t>新生达标    应发金额 A</t>
  </si>
  <si>
    <t>refer</t>
  </si>
  <si>
    <t>X=自创资源占比季度净增人头的比例</t>
  </si>
  <si>
    <t>计发标准（达标300元）</t>
  </si>
  <si>
    <t xml:space="preserve">refe         应发金额 B </t>
  </si>
  <si>
    <t>rebuy基数</t>
  </si>
  <si>
    <t>rebuy       完成人数</t>
  </si>
  <si>
    <t>rubuy    完成率</t>
  </si>
  <si>
    <t>rebuy   应发金额 C</t>
  </si>
  <si>
    <t>企业文化得分</t>
  </si>
  <si>
    <t>企业文化应发金额（满额300元）    D</t>
  </si>
  <si>
    <t>季度总额 E=A+B+C+D</t>
  </si>
  <si>
    <t>3月</t>
  </si>
  <si>
    <t>三个月完成一标=2计发70%    420元
三个月完成一标=3 计发100%  600元
三个月完成二标≥2计发110%  660元
三个月完成三标≥2计发120%  720元</t>
  </si>
  <si>
    <t>X=自创资源占比季度净增人头的比例（按小数点后两位四舍五入),例：16.75%四舍五入为16.8%
若X&lt;45%，未达标：按（实际招生*45%-实际人数）*50元扣除，最多扣300元
若X&gt;45%：按（实际人数-实际招生*45%）*50元奖励
，最多奖300元。</t>
  </si>
  <si>
    <t>X=季度rebuy率
若X&lt;35%，未达标：         按（Rebuy基数*35%-实际人数）*50元扣除，最多扣300元；
若X&gt;=35%，达标：          按（实际人数-Rebuy基数*35%）*50元奖励
，最多奖300元</t>
  </si>
  <si>
    <t>4月</t>
  </si>
  <si>
    <t>5月</t>
  </si>
  <si>
    <t>合计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</si>
  <si>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</si>
  <si>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</si>
  <si>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</si>
  <si>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</si>
  <si>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</si>
  <si>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</si>
  <si>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</si>
  <si>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</si>
  <si>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</si>
  <si>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计发标准                                   （达标800元）</t>
  </si>
  <si>
    <t>新生达标     应发金额      A</t>
  </si>
  <si>
    <t>常规培训得分</t>
  </si>
  <si>
    <t>计发标准                （满额800元）</t>
  </si>
  <si>
    <t>常规培训            应该金额</t>
  </si>
  <si>
    <t>新人培训奖励</t>
  </si>
  <si>
    <t xml:space="preserve">培训          应发金额       B </t>
  </si>
  <si>
    <t>企业文化应发金额（满额400元）    C</t>
  </si>
  <si>
    <t>季度总额 D=A+B+C</t>
  </si>
  <si>
    <t>三个月完成一标=2计发70%     560
三个月完成一标=3 计发100%   800
三个月完成二标≥2计发110%   880
三个月完成三标≥2计发120%   960</t>
  </si>
  <si>
    <t>9-10分 计发120%； 960
8-9分 计发100%；  800
7-8分  计发50%；  400
7分以下 计发0    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</si>
</sst>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￥&quot;* #,##0_ ;_ &quot;￥&quot;* \-#,##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3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13" applyNumberFormat="0" applyAlignment="0" applyProtection="0">
      <alignment vertical="center"/>
    </xf>
    <xf numFmtId="0" fontId="17" fillId="15" borderId="14" applyNumberFormat="0" applyAlignment="0" applyProtection="0">
      <alignment vertical="center"/>
    </xf>
    <xf numFmtId="0" fontId="18" fillId="15" borderId="13" applyNumberFormat="0" applyAlignment="0" applyProtection="0">
      <alignment vertical="center"/>
    </xf>
    <xf numFmtId="0" fontId="19" fillId="1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/>
    </xf>
    <xf numFmtId="0" fontId="1" fillId="4" borderId="2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left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1" fillId="4" borderId="3" xfId="0" applyFont="1" applyFill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left" vertical="center"/>
    </xf>
    <xf numFmtId="0" fontId="1" fillId="5" borderId="2" xfId="0" applyFont="1" applyFill="1" applyBorder="1" applyAlignment="1" applyProtection="1">
      <alignment horizontal="center" vertical="center" wrapText="1"/>
    </xf>
    <xf numFmtId="0" fontId="1" fillId="5" borderId="3" xfId="0" applyFont="1" applyFill="1" applyBorder="1" applyAlignment="1" applyProtection="1">
      <alignment horizontal="center" vertical="center" wrapText="1"/>
    </xf>
    <xf numFmtId="0" fontId="1" fillId="0" borderId="1" xfId="0" applyFont="1" applyBorder="1" applyProtection="1">
      <alignment vertical="center"/>
    </xf>
    <xf numFmtId="0" fontId="1" fillId="5" borderId="2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left" vertical="center" wrapText="1"/>
    </xf>
    <xf numFmtId="0" fontId="1" fillId="5" borderId="4" xfId="0" applyFont="1" applyFill="1" applyBorder="1" applyAlignment="1" applyProtection="1">
      <alignment horizontal="center" vertical="center"/>
    </xf>
    <xf numFmtId="0" fontId="1" fillId="5" borderId="3" xfId="0" applyFont="1" applyFill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left" vertical="center"/>
    </xf>
    <xf numFmtId="0" fontId="3" fillId="7" borderId="1" xfId="0" applyFont="1" applyFill="1" applyBorder="1" applyAlignment="1" applyProtection="1">
      <alignment horizontal="left" vertical="center"/>
    </xf>
    <xf numFmtId="0" fontId="3" fillId="7" borderId="1" xfId="0" applyFont="1" applyFill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9" fontId="3" fillId="0" borderId="1" xfId="0" applyNumberFormat="1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/>
    </xf>
    <xf numFmtId="10" fontId="4" fillId="0" borderId="1" xfId="0" applyNumberFormat="1" applyFont="1" applyBorder="1" applyAlignment="1" applyProtection="1">
      <alignment horizontal="left" vertical="center"/>
    </xf>
    <xf numFmtId="0" fontId="3" fillId="0" borderId="0" xfId="0" applyFont="1" applyFill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8" borderId="1" xfId="0" applyFont="1" applyFill="1" applyBorder="1" applyAlignment="1" applyProtection="1">
      <alignment horizontal="left" vertical="center"/>
    </xf>
    <xf numFmtId="49" fontId="3" fillId="8" borderId="1" xfId="0" applyNumberFormat="1" applyFont="1" applyFill="1" applyBorder="1" applyAlignment="1" applyProtection="1">
      <alignment horizontal="left" vertical="center"/>
    </xf>
    <xf numFmtId="9" fontId="3" fillId="0" borderId="1" xfId="0" applyNumberFormat="1" applyFont="1" applyBorder="1" applyAlignment="1" applyProtection="1">
      <alignment horizontal="left" vertical="center"/>
    </xf>
    <xf numFmtId="0" fontId="5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 applyProtection="1">
      <alignment horizontal="left" vertical="top" wrapText="1"/>
    </xf>
    <xf numFmtId="0" fontId="6" fillId="0" borderId="0" xfId="0" applyFont="1" applyFill="1" applyAlignment="1">
      <alignment vertical="center"/>
    </xf>
    <xf numFmtId="0" fontId="3" fillId="8" borderId="1" xfId="0" applyFont="1" applyFill="1" applyBorder="1" applyAlignment="1" applyProtection="1">
      <alignment horizontal="center" vertical="center"/>
    </xf>
    <xf numFmtId="0" fontId="3" fillId="9" borderId="1" xfId="0" applyFont="1" applyFill="1" applyBorder="1" applyAlignment="1" applyProtection="1">
      <alignment horizontal="center" vertical="center"/>
    </xf>
    <xf numFmtId="0" fontId="3" fillId="10" borderId="1" xfId="0" applyFont="1" applyFill="1" applyBorder="1" applyAlignment="1" applyProtection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1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12" borderId="3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0"/>
  <sheetViews>
    <sheetView tabSelected="1" workbookViewId="0">
      <selection activeCell="P17" sqref="P17"/>
    </sheetView>
  </sheetViews>
  <sheetFormatPr defaultColWidth="7.14393939393939" defaultRowHeight="13.8"/>
  <cols>
    <col min="1" max="1" width="12.8181818181818" style="66" customWidth="1"/>
    <col min="2" max="9" width="7.14393939393939" style="66"/>
    <col min="10" max="10" width="8.36363636363636" style="66" customWidth="1"/>
    <col min="11" max="16384" width="7.14393939393939" style="66"/>
  </cols>
  <sheetData>
    <row r="1" s="66" customFormat="1" ht="19" customHeight="1" spans="1:24">
      <c r="A1" s="67" t="s">
        <v>0</v>
      </c>
      <c r="B1" s="68">
        <v>0</v>
      </c>
      <c r="C1" s="68">
        <v>1</v>
      </c>
      <c r="D1" s="68">
        <v>2</v>
      </c>
      <c r="E1" s="68">
        <v>3</v>
      </c>
      <c r="F1" s="68">
        <v>4</v>
      </c>
      <c r="G1" s="68">
        <v>5</v>
      </c>
      <c r="H1" s="68">
        <v>6</v>
      </c>
      <c r="I1" s="68">
        <v>7</v>
      </c>
      <c r="J1" s="69">
        <v>8</v>
      </c>
      <c r="K1" s="68">
        <v>9</v>
      </c>
      <c r="L1" s="69">
        <v>10</v>
      </c>
      <c r="M1" s="68">
        <v>11</v>
      </c>
      <c r="N1" s="68">
        <v>12</v>
      </c>
      <c r="O1" s="68">
        <v>13</v>
      </c>
      <c r="P1" s="68">
        <v>14</v>
      </c>
      <c r="Q1" s="69">
        <v>15</v>
      </c>
      <c r="R1" s="70">
        <v>16</v>
      </c>
      <c r="S1" s="71">
        <v>17</v>
      </c>
      <c r="T1" s="71">
        <v>18</v>
      </c>
      <c r="U1" s="71">
        <v>19</v>
      </c>
      <c r="V1" s="71">
        <v>20</v>
      </c>
      <c r="W1" s="71">
        <v>21</v>
      </c>
      <c r="X1" s="71">
        <v>22</v>
      </c>
    </row>
    <row r="2" s="66" customFormat="1" ht="17" customHeight="1" spans="1:24">
      <c r="A2" s="67" t="s">
        <v>1</v>
      </c>
      <c r="B2" s="68">
        <v>0</v>
      </c>
      <c r="C2" s="68">
        <v>100</v>
      </c>
      <c r="D2" s="68">
        <v>100</v>
      </c>
      <c r="E2" s="68">
        <v>100</v>
      </c>
      <c r="F2" s="68">
        <v>100</v>
      </c>
      <c r="G2" s="68">
        <v>200</v>
      </c>
      <c r="H2" s="68">
        <v>200</v>
      </c>
      <c r="I2" s="68">
        <v>250</v>
      </c>
      <c r="J2" s="69">
        <v>250</v>
      </c>
      <c r="K2" s="68">
        <v>300</v>
      </c>
      <c r="L2" s="69">
        <v>300</v>
      </c>
      <c r="M2" s="68">
        <v>350</v>
      </c>
      <c r="N2" s="68">
        <v>350</v>
      </c>
      <c r="O2" s="68">
        <v>400</v>
      </c>
      <c r="P2" s="68">
        <v>400</v>
      </c>
      <c r="Q2" s="69">
        <v>450</v>
      </c>
      <c r="R2" s="70">
        <v>450</v>
      </c>
      <c r="S2" s="71">
        <v>500</v>
      </c>
      <c r="T2" s="71">
        <v>500</v>
      </c>
      <c r="U2" s="71">
        <v>550</v>
      </c>
      <c r="V2" s="71">
        <v>550</v>
      </c>
      <c r="W2" s="71">
        <v>600</v>
      </c>
      <c r="X2" s="71">
        <v>600</v>
      </c>
    </row>
    <row r="3" s="66" customFormat="1" ht="15" customHeight="1" spans="1:24">
      <c r="A3" s="67" t="s">
        <v>2</v>
      </c>
      <c r="B3" s="68">
        <v>0</v>
      </c>
      <c r="C3" s="68">
        <v>100</v>
      </c>
      <c r="D3" s="68">
        <v>200</v>
      </c>
      <c r="E3" s="68">
        <v>300</v>
      </c>
      <c r="F3" s="68">
        <v>400</v>
      </c>
      <c r="G3" s="68">
        <f t="shared" ref="G3:Q3" si="0">G2*G1</f>
        <v>1000</v>
      </c>
      <c r="H3" s="68">
        <f t="shared" si="0"/>
        <v>1200</v>
      </c>
      <c r="I3" s="68">
        <f t="shared" si="0"/>
        <v>1750</v>
      </c>
      <c r="J3" s="69">
        <f t="shared" si="0"/>
        <v>2000</v>
      </c>
      <c r="K3" s="68">
        <f t="shared" si="0"/>
        <v>2700</v>
      </c>
      <c r="L3" s="69">
        <f t="shared" si="0"/>
        <v>3000</v>
      </c>
      <c r="M3" s="68">
        <f t="shared" si="0"/>
        <v>3850</v>
      </c>
      <c r="N3" s="68">
        <f t="shared" si="0"/>
        <v>4200</v>
      </c>
      <c r="O3" s="68">
        <f t="shared" si="0"/>
        <v>5200</v>
      </c>
      <c r="P3" s="68">
        <f t="shared" si="0"/>
        <v>5600</v>
      </c>
      <c r="Q3" s="69">
        <f t="shared" si="0"/>
        <v>6750</v>
      </c>
      <c r="R3" s="70">
        <v>7200</v>
      </c>
      <c r="S3" s="71">
        <v>8500</v>
      </c>
      <c r="T3" s="71">
        <v>9000</v>
      </c>
      <c r="U3" s="71">
        <v>10450</v>
      </c>
      <c r="V3" s="71">
        <v>11000</v>
      </c>
      <c r="W3" s="71">
        <v>12600</v>
      </c>
      <c r="X3" s="71">
        <v>13200</v>
      </c>
    </row>
    <row r="4" s="66" customFormat="1" ht="15" customHeight="1" spans="1:24">
      <c r="A4" s="67" t="s">
        <v>3</v>
      </c>
      <c r="B4" s="68">
        <v>3000</v>
      </c>
      <c r="C4" s="68">
        <v>3000</v>
      </c>
      <c r="D4" s="68">
        <v>3000</v>
      </c>
      <c r="E4" s="68">
        <v>3000</v>
      </c>
      <c r="F4" s="68">
        <v>3000</v>
      </c>
      <c r="G4" s="68">
        <v>3000</v>
      </c>
      <c r="H4" s="68">
        <v>3000</v>
      </c>
      <c r="I4" s="68">
        <v>3000</v>
      </c>
      <c r="J4" s="69">
        <v>3500</v>
      </c>
      <c r="K4" s="68">
        <v>3500</v>
      </c>
      <c r="L4" s="69">
        <v>4000</v>
      </c>
      <c r="M4" s="68">
        <v>4000</v>
      </c>
      <c r="N4" s="68">
        <v>4000</v>
      </c>
      <c r="O4" s="68">
        <v>4000</v>
      </c>
      <c r="P4" s="68">
        <v>4000</v>
      </c>
      <c r="Q4" s="69">
        <v>4000</v>
      </c>
      <c r="R4" s="70">
        <v>4000</v>
      </c>
      <c r="S4" s="71">
        <v>4000</v>
      </c>
      <c r="T4" s="71">
        <v>4000</v>
      </c>
      <c r="U4" s="71">
        <v>4000</v>
      </c>
      <c r="V4" s="71">
        <v>4000</v>
      </c>
      <c r="W4" s="71">
        <v>4000</v>
      </c>
      <c r="X4" s="71">
        <v>4000</v>
      </c>
    </row>
    <row r="5" s="66" customFormat="1" ht="15" customHeight="1" spans="1:24">
      <c r="A5" s="67" t="s">
        <v>4</v>
      </c>
      <c r="B5" s="68">
        <f t="shared" ref="B5:Q5" si="1">B4+B3</f>
        <v>3000</v>
      </c>
      <c r="C5" s="68">
        <f t="shared" si="1"/>
        <v>3100</v>
      </c>
      <c r="D5" s="68">
        <f t="shared" si="1"/>
        <v>3200</v>
      </c>
      <c r="E5" s="68">
        <f t="shared" si="1"/>
        <v>3300</v>
      </c>
      <c r="F5" s="68">
        <f t="shared" si="1"/>
        <v>3400</v>
      </c>
      <c r="G5" s="68">
        <f t="shared" si="1"/>
        <v>4000</v>
      </c>
      <c r="H5" s="68">
        <f t="shared" si="1"/>
        <v>4200</v>
      </c>
      <c r="I5" s="68">
        <f t="shared" si="1"/>
        <v>4750</v>
      </c>
      <c r="J5" s="69">
        <f t="shared" si="1"/>
        <v>5500</v>
      </c>
      <c r="K5" s="68">
        <f t="shared" si="1"/>
        <v>6200</v>
      </c>
      <c r="L5" s="69">
        <f t="shared" si="1"/>
        <v>7000</v>
      </c>
      <c r="M5" s="68">
        <f t="shared" si="1"/>
        <v>7850</v>
      </c>
      <c r="N5" s="68">
        <f t="shared" si="1"/>
        <v>8200</v>
      </c>
      <c r="O5" s="68">
        <f t="shared" si="1"/>
        <v>9200</v>
      </c>
      <c r="P5" s="68">
        <f t="shared" si="1"/>
        <v>9600</v>
      </c>
      <c r="Q5" s="69">
        <f t="shared" si="1"/>
        <v>10750</v>
      </c>
      <c r="R5" s="70">
        <v>11200</v>
      </c>
      <c r="S5" s="71">
        <v>12500</v>
      </c>
      <c r="T5" s="71">
        <v>13000</v>
      </c>
      <c r="U5" s="71">
        <v>14450</v>
      </c>
      <c r="V5" s="71">
        <v>15000</v>
      </c>
      <c r="W5" s="71">
        <v>16600</v>
      </c>
      <c r="X5" s="71">
        <v>17200</v>
      </c>
    </row>
    <row r="7" s="66" customFormat="1" ht="15" spans="1:24">
      <c r="A7" s="72" t="s">
        <v>5</v>
      </c>
      <c r="B7" s="73"/>
      <c r="C7" s="73"/>
      <c r="D7" s="73"/>
      <c r="E7" s="73"/>
      <c r="F7" s="73"/>
      <c r="G7" s="73"/>
      <c r="H7" s="73"/>
      <c r="I7" s="73"/>
      <c r="J7" s="73"/>
    </row>
    <row r="8" s="66" customFormat="1" ht="15" spans="1:24">
      <c r="A8" s="74" t="s">
        <v>6</v>
      </c>
      <c r="B8" s="75" t="s">
        <v>7</v>
      </c>
      <c r="C8" s="75"/>
      <c r="D8" s="75"/>
      <c r="E8" s="75"/>
      <c r="F8" s="75"/>
      <c r="G8" s="76" t="s">
        <v>8</v>
      </c>
      <c r="H8" s="76"/>
      <c r="I8" s="76"/>
      <c r="J8" s="76"/>
    </row>
    <row r="9" s="66" customFormat="1" ht="15" spans="1:24">
      <c r="A9" s="75" t="s">
        <v>6</v>
      </c>
      <c r="B9" s="77" t="s">
        <v>9</v>
      </c>
      <c r="C9" s="77"/>
      <c r="D9" s="77"/>
      <c r="E9" s="77"/>
      <c r="F9" s="77"/>
      <c r="G9" s="78" t="s">
        <v>10</v>
      </c>
      <c r="H9" s="78"/>
      <c r="I9" s="78"/>
      <c r="J9" s="78"/>
    </row>
    <row r="10" s="66" customFormat="1" ht="15" spans="1:24">
      <c r="A10" s="75" t="s">
        <v>6</v>
      </c>
      <c r="B10" s="75" t="s">
        <v>11</v>
      </c>
      <c r="C10" s="75"/>
      <c r="D10" s="75"/>
      <c r="E10" s="75"/>
      <c r="F10" s="75"/>
      <c r="G10" s="76" t="s">
        <v>12</v>
      </c>
      <c r="H10" s="76"/>
      <c r="I10" s="76"/>
      <c r="J10" s="76"/>
    </row>
  </sheetData>
  <mergeCells count="6">
    <mergeCell ref="B8:F8"/>
    <mergeCell ref="G8:J8"/>
    <mergeCell ref="B9:F9"/>
    <mergeCell ref="G9:J9"/>
    <mergeCell ref="B10:F10"/>
    <mergeCell ref="G10:J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9"/>
  <sheetViews>
    <sheetView workbookViewId="0">
      <selection activeCell="B4" sqref="B4:G6"/>
    </sheetView>
  </sheetViews>
  <sheetFormatPr defaultColWidth="8.33333333333333" defaultRowHeight="16.5" customHeight="1"/>
  <cols>
    <col min="1" max="1" width="13.1666666666667" style="36" customWidth="1"/>
    <col min="2" max="2" width="13.1818181818182" style="37" customWidth="1"/>
    <col min="3" max="3" width="22.5454545454545" style="37" customWidth="1"/>
    <col min="4" max="4" width="23.8181818181818" style="37" customWidth="1"/>
    <col min="5" max="5" width="23.5454545454545" style="37" customWidth="1"/>
    <col min="6" max="6" width="15.8181818181818" style="37" customWidth="1"/>
    <col min="7" max="7" width="55.3787878787879" style="37" customWidth="1"/>
    <col min="8" max="8" width="18.6666666666667" style="37" customWidth="1"/>
    <col min="9" max="9" width="35.5" style="36" customWidth="1"/>
    <col min="10" max="40" width="8.33333333333333" style="36"/>
    <col min="41" max="16384" width="8.33333333333333" style="38"/>
  </cols>
  <sheetData>
    <row r="1" s="36" customFormat="1" customHeight="1" spans="1:9">
      <c r="A1" s="39" t="s">
        <v>13</v>
      </c>
      <c r="B1" s="37"/>
      <c r="C1" s="37"/>
      <c r="D1" s="37"/>
      <c r="E1" s="37"/>
      <c r="F1" s="37"/>
      <c r="G1" s="37"/>
      <c r="H1" s="37"/>
    </row>
    <row r="2" s="36" customFormat="1" customHeight="1" spans="1:9">
      <c r="A2" s="40" t="s">
        <v>14</v>
      </c>
      <c r="B2" s="41" t="s">
        <v>15</v>
      </c>
      <c r="C2" s="40" t="s">
        <v>16</v>
      </c>
      <c r="D2" s="40" t="s">
        <v>17</v>
      </c>
      <c r="E2" s="40" t="s">
        <v>18</v>
      </c>
      <c r="F2" s="40" t="s">
        <v>19</v>
      </c>
      <c r="G2" s="42" t="s">
        <v>20</v>
      </c>
      <c r="H2" s="43"/>
      <c r="I2" s="40" t="s">
        <v>21</v>
      </c>
    </row>
    <row r="3" s="36" customFormat="1" ht="20" customHeight="1" spans="1:9">
      <c r="A3" s="44"/>
      <c r="B3" s="41"/>
      <c r="C3" s="44"/>
      <c r="D3" s="44"/>
      <c r="E3" s="44"/>
      <c r="F3" s="44"/>
      <c r="G3" s="41" t="s">
        <v>22</v>
      </c>
      <c r="H3" s="41" t="s">
        <v>23</v>
      </c>
      <c r="I3" s="44"/>
    </row>
    <row r="4" s="36" customFormat="1" ht="30" customHeight="1" spans="1:9">
      <c r="A4" s="40" t="s">
        <v>24</v>
      </c>
      <c r="B4" s="45" t="s">
        <v>25</v>
      </c>
      <c r="C4" s="40">
        <v>3500</v>
      </c>
      <c r="D4" s="40">
        <v>1500</v>
      </c>
      <c r="E4" s="46" t="s">
        <v>26</v>
      </c>
      <c r="F4" s="46" t="s">
        <v>27</v>
      </c>
      <c r="G4" s="46" t="s">
        <v>28</v>
      </c>
      <c r="H4" s="46" t="s">
        <v>29</v>
      </c>
      <c r="I4" s="46" t="s">
        <v>30</v>
      </c>
    </row>
    <row r="5" s="36" customFormat="1" ht="30" customHeight="1" spans="1:9">
      <c r="A5" s="47"/>
      <c r="B5" s="48" t="s">
        <v>31</v>
      </c>
      <c r="C5" s="49">
        <v>4000</v>
      </c>
      <c r="D5" s="49">
        <v>2000</v>
      </c>
      <c r="E5" s="50"/>
      <c r="F5" s="50"/>
      <c r="G5" s="50"/>
      <c r="H5" s="50"/>
      <c r="I5" s="47"/>
    </row>
    <row r="6" s="36" customFormat="1" ht="55" customHeight="1" spans="1:9">
      <c r="A6" s="44"/>
      <c r="B6" s="45" t="s">
        <v>32</v>
      </c>
      <c r="C6" s="41">
        <v>4000</v>
      </c>
      <c r="D6" s="41">
        <v>3000</v>
      </c>
      <c r="E6" s="51"/>
      <c r="F6" s="51"/>
      <c r="G6" s="51"/>
      <c r="H6" s="51"/>
      <c r="I6" s="44"/>
    </row>
    <row r="7" s="36" customFormat="1" ht="20" customHeight="1" spans="1:9">
      <c r="A7" s="39" t="s">
        <v>33</v>
      </c>
      <c r="B7" s="39"/>
      <c r="C7" s="39"/>
      <c r="D7" s="37"/>
      <c r="E7" s="37"/>
      <c r="F7" s="37"/>
      <c r="G7" s="37"/>
      <c r="H7" s="37"/>
    </row>
    <row r="8" s="36" customFormat="1" ht="20" customHeight="1" spans="1:9">
      <c r="A8" s="41" t="s">
        <v>34</v>
      </c>
      <c r="B8" s="41" t="s">
        <v>35</v>
      </c>
      <c r="C8" s="41" t="s">
        <v>36</v>
      </c>
      <c r="D8" s="41" t="s">
        <v>37</v>
      </c>
      <c r="E8" s="41" t="s">
        <v>38</v>
      </c>
      <c r="F8" s="41" t="s">
        <v>39</v>
      </c>
      <c r="H8" s="37"/>
    </row>
    <row r="9" s="36" customFormat="1" ht="28" customHeight="1" spans="1:9">
      <c r="A9" s="41" t="s">
        <v>40</v>
      </c>
      <c r="B9" s="52">
        <v>0.25</v>
      </c>
      <c r="C9" s="41">
        <v>500</v>
      </c>
      <c r="D9" s="53" t="s">
        <v>41</v>
      </c>
      <c r="E9" s="45" t="s">
        <v>42</v>
      </c>
      <c r="F9" s="41"/>
      <c r="G9" s="37"/>
      <c r="H9" s="37"/>
    </row>
    <row r="10" s="36" customFormat="1" ht="82" customHeight="1" spans="1:9">
      <c r="A10" s="41" t="s">
        <v>43</v>
      </c>
      <c r="B10" s="52">
        <v>0.25</v>
      </c>
      <c r="C10" s="41">
        <v>500</v>
      </c>
      <c r="D10" s="53" t="s">
        <v>44</v>
      </c>
      <c r="E10" s="53" t="s">
        <v>45</v>
      </c>
      <c r="F10" s="41"/>
      <c r="G10" s="37"/>
      <c r="H10" s="37"/>
    </row>
    <row r="11" s="36" customFormat="1" ht="143" customHeight="1" spans="1:9">
      <c r="A11" s="41" t="s">
        <v>46</v>
      </c>
      <c r="B11" s="52">
        <v>0.3</v>
      </c>
      <c r="C11" s="41">
        <v>600</v>
      </c>
      <c r="D11" s="53" t="s">
        <v>47</v>
      </c>
      <c r="E11" s="53" t="s">
        <v>48</v>
      </c>
      <c r="F11" s="41"/>
      <c r="G11" s="37"/>
      <c r="H11" s="37"/>
    </row>
    <row r="12" s="36" customFormat="1" ht="30" customHeight="1" spans="1:9">
      <c r="A12" s="41" t="s">
        <v>49</v>
      </c>
      <c r="B12" s="52">
        <v>0.2</v>
      </c>
      <c r="C12" s="41">
        <v>400</v>
      </c>
      <c r="D12" s="53" t="s">
        <v>50</v>
      </c>
      <c r="E12" s="41" t="s">
        <v>51</v>
      </c>
      <c r="F12" s="41"/>
      <c r="G12" s="37"/>
      <c r="H12" s="37"/>
    </row>
    <row r="13" s="36" customFormat="1" ht="20" customHeight="1" spans="1:9">
      <c r="A13" s="54" t="s">
        <v>52</v>
      </c>
      <c r="B13" s="55">
        <f>B9+B10+B11+B12</f>
        <v>1</v>
      </c>
      <c r="C13" s="41">
        <f>C9+C10+C11+C12</f>
        <v>2000</v>
      </c>
      <c r="D13" s="54" t="s">
        <v>53</v>
      </c>
      <c r="E13" s="54"/>
      <c r="F13" s="54">
        <f>F9+F10+F11+F12</f>
        <v>0</v>
      </c>
      <c r="G13" s="37"/>
      <c r="H13" s="37"/>
    </row>
    <row r="14" s="36" customFormat="1" ht="20" customHeight="1" spans="1:9">
      <c r="A14" s="56"/>
      <c r="B14" s="57"/>
      <c r="C14" s="58"/>
      <c r="D14" s="58"/>
      <c r="E14" s="58"/>
      <c r="F14" s="58"/>
      <c r="G14" s="37"/>
      <c r="H14" s="37"/>
    </row>
    <row r="15" s="36" customFormat="1" ht="20" customHeight="1" spans="1:9">
      <c r="A15" s="39" t="s">
        <v>54</v>
      </c>
      <c r="B15" s="57"/>
      <c r="C15" s="58"/>
      <c r="D15" s="58"/>
      <c r="E15" s="58"/>
      <c r="F15" s="58"/>
      <c r="G15" s="37"/>
      <c r="H15" s="37"/>
    </row>
    <row r="16" s="36" customFormat="1" ht="20" customHeight="1" spans="1:9">
      <c r="A16" s="59" t="s">
        <v>55</v>
      </c>
      <c r="B16" s="60" t="s">
        <v>56</v>
      </c>
      <c r="C16" s="60" t="s">
        <v>57</v>
      </c>
      <c r="D16" s="60" t="s">
        <v>58</v>
      </c>
      <c r="E16" s="60" t="s">
        <v>59</v>
      </c>
      <c r="F16" s="60" t="s">
        <v>60</v>
      </c>
      <c r="G16" s="60">
        <v>15</v>
      </c>
      <c r="H16" s="37"/>
    </row>
    <row r="17" s="36" customFormat="1" ht="20" customHeight="1" spans="1:8">
      <c r="A17" s="59" t="s">
        <v>61</v>
      </c>
      <c r="B17" s="59">
        <v>200</v>
      </c>
      <c r="C17" s="59">
        <v>250</v>
      </c>
      <c r="D17" s="59">
        <v>300</v>
      </c>
      <c r="E17" s="59">
        <v>350</v>
      </c>
      <c r="F17" s="59">
        <v>400</v>
      </c>
      <c r="G17" s="59">
        <v>450</v>
      </c>
      <c r="H17" s="37"/>
    </row>
    <row r="18" s="36" customFormat="1" ht="20" customHeight="1" spans="1:8">
      <c r="A18" s="56"/>
      <c r="B18" s="57"/>
      <c r="C18" s="58"/>
      <c r="D18" s="58"/>
      <c r="E18" s="58"/>
      <c r="F18" s="58"/>
      <c r="G18" s="37"/>
      <c r="H18" s="37"/>
    </row>
    <row r="19" s="36" customFormat="1" ht="20" customHeight="1" spans="1:8">
      <c r="A19" s="39" t="s">
        <v>62</v>
      </c>
      <c r="B19" s="57"/>
      <c r="C19" s="58"/>
      <c r="D19" s="58"/>
      <c r="E19" s="58"/>
      <c r="F19" s="58"/>
      <c r="G19" s="37"/>
      <c r="H19" s="37"/>
    </row>
    <row r="20" s="36" customFormat="1" customHeight="1" spans="1:8">
      <c r="A20" s="41" t="s">
        <v>63</v>
      </c>
      <c r="B20" s="41"/>
      <c r="C20" s="41"/>
      <c r="D20" s="41"/>
      <c r="E20" s="41"/>
      <c r="F20" s="41"/>
      <c r="G20" s="41"/>
    </row>
    <row r="21" s="36" customFormat="1" customHeight="1" spans="1:8">
      <c r="A21" s="45" t="s">
        <v>34</v>
      </c>
      <c r="B21" s="41" t="s">
        <v>35</v>
      </c>
      <c r="C21" s="45" t="s">
        <v>64</v>
      </c>
      <c r="D21" s="45" t="s">
        <v>65</v>
      </c>
      <c r="E21" s="45" t="s">
        <v>66</v>
      </c>
      <c r="F21" s="45" t="s">
        <v>67</v>
      </c>
      <c r="G21" s="45" t="s">
        <v>68</v>
      </c>
    </row>
    <row r="22" s="36" customFormat="1" ht="18" customHeight="1" spans="1:8">
      <c r="A22" s="41" t="s">
        <v>69</v>
      </c>
      <c r="B22" s="52">
        <v>0.3</v>
      </c>
      <c r="C22" s="53" t="s">
        <v>70</v>
      </c>
      <c r="D22" s="41" t="s">
        <v>71</v>
      </c>
      <c r="E22" s="45">
        <v>5</v>
      </c>
      <c r="F22" s="40"/>
      <c r="G22" s="40"/>
    </row>
    <row r="23" s="36" customFormat="1" ht="18" customHeight="1" spans="1:8">
      <c r="A23" s="41"/>
      <c r="B23" s="41"/>
      <c r="C23" s="53"/>
      <c r="D23" s="45" t="s">
        <v>72</v>
      </c>
      <c r="E23" s="45">
        <v>4</v>
      </c>
      <c r="F23" s="47"/>
      <c r="G23" s="47"/>
    </row>
    <row r="24" s="36" customFormat="1" ht="18" customHeight="1" spans="1:8">
      <c r="A24" s="41"/>
      <c r="B24" s="41"/>
      <c r="C24" s="53"/>
      <c r="D24" s="45" t="s">
        <v>73</v>
      </c>
      <c r="E24" s="45">
        <v>3</v>
      </c>
      <c r="F24" s="47"/>
      <c r="G24" s="47"/>
    </row>
    <row r="25" s="36" customFormat="1" ht="18" customHeight="1" spans="1:8">
      <c r="A25" s="41"/>
      <c r="B25" s="41"/>
      <c r="C25" s="53"/>
      <c r="D25" s="45" t="s">
        <v>74</v>
      </c>
      <c r="E25" s="45">
        <v>2</v>
      </c>
      <c r="F25" s="47"/>
      <c r="G25" s="47"/>
    </row>
    <row r="26" s="36" customFormat="1" ht="18" customHeight="1" spans="1:8">
      <c r="A26" s="41"/>
      <c r="B26" s="41"/>
      <c r="C26" s="53"/>
      <c r="D26" s="45" t="s">
        <v>75</v>
      </c>
      <c r="E26" s="45">
        <v>0</v>
      </c>
      <c r="F26" s="44"/>
      <c r="G26" s="44"/>
    </row>
    <row r="27" s="36" customFormat="1" ht="18" customHeight="1" spans="1:8">
      <c r="A27" s="53" t="s">
        <v>76</v>
      </c>
      <c r="B27" s="52">
        <v>0.4</v>
      </c>
      <c r="C27" s="53" t="s">
        <v>77</v>
      </c>
      <c r="D27" s="45" t="s">
        <v>78</v>
      </c>
      <c r="E27" s="45">
        <v>5</v>
      </c>
      <c r="F27" s="40"/>
      <c r="G27" s="40"/>
    </row>
    <row r="28" s="36" customFormat="1" ht="18" customHeight="1" spans="1:8">
      <c r="A28" s="53"/>
      <c r="B28" s="52"/>
      <c r="C28" s="53"/>
      <c r="D28" s="45" t="s">
        <v>79</v>
      </c>
      <c r="E28" s="45">
        <v>4</v>
      </c>
      <c r="F28" s="47"/>
      <c r="G28" s="47"/>
    </row>
    <row r="29" s="36" customFormat="1" ht="18" customHeight="1" spans="1:8">
      <c r="A29" s="53"/>
      <c r="B29" s="52"/>
      <c r="C29" s="53"/>
      <c r="D29" s="45" t="s">
        <v>80</v>
      </c>
      <c r="E29" s="45">
        <v>3</v>
      </c>
      <c r="F29" s="47"/>
      <c r="G29" s="47"/>
    </row>
    <row r="30" s="36" customFormat="1" ht="18" customHeight="1" spans="1:8">
      <c r="A30" s="53"/>
      <c r="B30" s="52"/>
      <c r="C30" s="53"/>
      <c r="D30" s="45" t="s">
        <v>81</v>
      </c>
      <c r="E30" s="45">
        <v>2</v>
      </c>
      <c r="F30" s="47"/>
      <c r="G30" s="47"/>
    </row>
    <row r="31" s="36" customFormat="1" customHeight="1" spans="1:8">
      <c r="A31" s="53"/>
      <c r="B31" s="61"/>
      <c r="C31" s="53"/>
      <c r="D31" s="53" t="s">
        <v>82</v>
      </c>
      <c r="E31" s="45">
        <v>0</v>
      </c>
      <c r="F31" s="44"/>
      <c r="G31" s="44"/>
    </row>
    <row r="32" s="36" customFormat="1" ht="35" customHeight="1" spans="1:8">
      <c r="A32" s="53" t="s">
        <v>83</v>
      </c>
      <c r="B32" s="52">
        <v>0.3</v>
      </c>
      <c r="C32" s="53" t="s">
        <v>84</v>
      </c>
      <c r="D32" s="53" t="s">
        <v>85</v>
      </c>
      <c r="E32" s="45">
        <v>5</v>
      </c>
      <c r="F32" s="40"/>
      <c r="G32" s="40"/>
    </row>
    <row r="33" s="36" customFormat="1" ht="35" customHeight="1" spans="1:10">
      <c r="A33" s="53"/>
      <c r="B33" s="52"/>
      <c r="C33" s="53"/>
      <c r="D33" s="53" t="s">
        <v>86</v>
      </c>
      <c r="E33" s="45">
        <v>4</v>
      </c>
      <c r="F33" s="47"/>
      <c r="G33" s="47"/>
    </row>
    <row r="34" s="36" customFormat="1" ht="35" customHeight="1" spans="1:10">
      <c r="A34" s="53"/>
      <c r="B34" s="52"/>
      <c r="C34" s="53"/>
      <c r="D34" s="53" t="s">
        <v>87</v>
      </c>
      <c r="E34" s="45">
        <v>3</v>
      </c>
      <c r="F34" s="47"/>
      <c r="G34" s="47"/>
    </row>
    <row r="35" s="36" customFormat="1" ht="35" customHeight="1" spans="1:10">
      <c r="A35" s="53"/>
      <c r="B35" s="52"/>
      <c r="C35" s="53"/>
      <c r="D35" s="45" t="s">
        <v>88</v>
      </c>
      <c r="E35" s="45">
        <v>2</v>
      </c>
      <c r="F35" s="47"/>
      <c r="G35" s="47"/>
    </row>
    <row r="36" s="36" customFormat="1" ht="35" customHeight="1" spans="1:10">
      <c r="A36" s="53"/>
      <c r="B36" s="52"/>
      <c r="C36" s="53"/>
      <c r="D36" s="45" t="s">
        <v>89</v>
      </c>
      <c r="E36" s="45">
        <v>0</v>
      </c>
      <c r="F36" s="44"/>
      <c r="G36" s="44"/>
      <c r="H36" s="62"/>
      <c r="I36" s="62"/>
      <c r="J36" s="62"/>
    </row>
    <row r="37" s="36" customFormat="1" customHeight="1" spans="1:10">
      <c r="A37" s="63" t="s">
        <v>90</v>
      </c>
      <c r="B37" s="63"/>
      <c r="C37" s="64"/>
      <c r="H37" s="62"/>
      <c r="I37" s="62"/>
      <c r="J37" s="62"/>
    </row>
    <row r="38" s="36" customFormat="1" ht="118" customHeight="1" spans="1:10">
      <c r="A38" s="65" t="s">
        <v>91</v>
      </c>
      <c r="B38" s="65"/>
      <c r="C38" s="65"/>
      <c r="D38" s="65"/>
      <c r="E38" s="65"/>
      <c r="F38" s="65"/>
      <c r="G38" s="64"/>
      <c r="H38" s="62"/>
      <c r="I38" s="62"/>
      <c r="J38" s="62"/>
    </row>
    <row r="39" s="36" customFormat="1" ht="23" customHeight="1" spans="1:10">
      <c r="B39" s="37"/>
      <c r="C39" s="37"/>
      <c r="D39" s="37"/>
      <c r="E39" s="37"/>
      <c r="F39" s="37"/>
      <c r="G39" s="37"/>
      <c r="H39" s="37"/>
    </row>
    <row r="40" s="36" customFormat="1" ht="23" customHeight="1" spans="1:10">
      <c r="B40" s="37"/>
      <c r="C40" s="37"/>
      <c r="D40" s="37"/>
      <c r="E40" s="37"/>
      <c r="F40" s="37"/>
      <c r="G40" s="37"/>
      <c r="H40" s="37"/>
    </row>
    <row r="41" s="36" customFormat="1" ht="23" customHeight="1" spans="1:10">
      <c r="B41" s="37"/>
      <c r="C41" s="37"/>
      <c r="D41" s="37"/>
      <c r="E41" s="37"/>
      <c r="F41" s="37"/>
      <c r="G41" s="37"/>
      <c r="H41" s="37"/>
    </row>
    <row r="42" s="36" customFormat="1" ht="23" customHeight="1" spans="1:10">
      <c r="B42" s="37"/>
      <c r="C42" s="37"/>
      <c r="D42" s="37"/>
      <c r="E42" s="37"/>
      <c r="F42" s="37"/>
      <c r="G42" s="37"/>
      <c r="H42" s="37"/>
    </row>
    <row r="43" s="36" customFormat="1" ht="31" customHeight="1" spans="1:10">
      <c r="B43" s="37"/>
      <c r="C43" s="37"/>
      <c r="D43" s="37"/>
      <c r="E43" s="37"/>
      <c r="F43" s="37"/>
      <c r="G43" s="37"/>
      <c r="H43" s="37"/>
    </row>
    <row r="44" s="36" customFormat="1" ht="31" customHeight="1" spans="1:10">
      <c r="B44" s="37"/>
      <c r="C44" s="37"/>
      <c r="D44" s="37"/>
      <c r="E44" s="37"/>
      <c r="F44" s="37"/>
      <c r="G44" s="37"/>
      <c r="H44" s="37"/>
    </row>
    <row r="45" s="36" customFormat="1" ht="31" customHeight="1" spans="1:10">
      <c r="B45" s="37"/>
      <c r="C45" s="37"/>
      <c r="D45" s="37"/>
      <c r="E45" s="37"/>
      <c r="F45" s="37"/>
      <c r="G45" s="37"/>
      <c r="H45" s="37"/>
    </row>
    <row r="46" s="36" customFormat="1" ht="31" customHeight="1" spans="1:10">
      <c r="B46" s="37"/>
      <c r="C46" s="37"/>
      <c r="D46" s="37"/>
      <c r="E46" s="37"/>
      <c r="F46" s="37"/>
      <c r="G46" s="37"/>
      <c r="H46" s="37"/>
    </row>
    <row r="47" s="36" customFormat="1" customHeight="1" spans="1:10">
      <c r="B47" s="37"/>
      <c r="C47" s="37"/>
      <c r="D47" s="37"/>
      <c r="E47" s="37"/>
      <c r="F47" s="37"/>
      <c r="G47" s="37"/>
      <c r="H47" s="37"/>
    </row>
    <row r="48" s="36" customFormat="1" customHeight="1" spans="1:10">
      <c r="B48" s="37"/>
      <c r="C48" s="37"/>
      <c r="D48" s="37"/>
      <c r="E48" s="37"/>
      <c r="F48" s="37"/>
      <c r="G48" s="37"/>
      <c r="H48" s="37"/>
    </row>
    <row r="49" s="36" customFormat="1" customHeight="1" spans="2:8">
      <c r="B49" s="37"/>
      <c r="C49" s="37"/>
      <c r="D49" s="37"/>
      <c r="E49" s="37"/>
      <c r="F49" s="37"/>
      <c r="G49" s="37"/>
      <c r="H49" s="37"/>
    </row>
    <row r="50" s="36" customFormat="1" customHeight="1" spans="2:8">
      <c r="B50" s="37"/>
      <c r="C50" s="37"/>
      <c r="D50" s="37"/>
      <c r="E50" s="37"/>
      <c r="F50" s="37"/>
      <c r="G50" s="37"/>
      <c r="H50" s="37"/>
    </row>
    <row r="51" s="36" customFormat="1" customHeight="1" spans="2:8">
      <c r="B51" s="37"/>
      <c r="C51" s="37"/>
      <c r="D51" s="37"/>
      <c r="E51" s="37"/>
      <c r="F51" s="37"/>
      <c r="G51" s="37"/>
      <c r="H51" s="37"/>
    </row>
    <row r="52" s="36" customFormat="1" customHeight="1" spans="2:8">
      <c r="B52" s="37"/>
      <c r="C52" s="37"/>
      <c r="D52" s="37"/>
      <c r="E52" s="37"/>
      <c r="F52" s="37"/>
      <c r="G52" s="37"/>
      <c r="H52" s="37"/>
    </row>
    <row r="53" s="36" customFormat="1" customHeight="1" spans="2:8">
      <c r="B53" s="37"/>
      <c r="C53" s="37"/>
      <c r="D53" s="37"/>
      <c r="E53" s="37"/>
      <c r="F53" s="37"/>
      <c r="G53" s="37"/>
      <c r="H53" s="37"/>
    </row>
    <row r="54" s="36" customFormat="1" customHeight="1" spans="2:8">
      <c r="B54" s="37"/>
      <c r="C54" s="37"/>
      <c r="D54" s="37"/>
      <c r="E54" s="37"/>
      <c r="F54" s="37"/>
      <c r="G54" s="37"/>
      <c r="H54" s="37"/>
    </row>
    <row r="55" s="36" customFormat="1" customHeight="1" spans="2:8">
      <c r="B55" s="37"/>
      <c r="C55" s="37"/>
      <c r="D55" s="37"/>
      <c r="E55" s="37"/>
      <c r="F55" s="37"/>
      <c r="G55" s="37"/>
      <c r="H55" s="37"/>
    </row>
    <row r="56" s="36" customFormat="1" customHeight="1" spans="2:8">
      <c r="B56" s="37"/>
      <c r="C56" s="37"/>
      <c r="D56" s="37"/>
      <c r="E56" s="37"/>
      <c r="F56" s="37"/>
      <c r="G56" s="37"/>
      <c r="H56" s="37"/>
    </row>
    <row r="57" s="36" customFormat="1" customHeight="1" spans="2:8">
      <c r="B57" s="37"/>
      <c r="C57" s="37"/>
      <c r="D57" s="37"/>
      <c r="E57" s="37"/>
      <c r="F57" s="37"/>
      <c r="G57" s="37"/>
      <c r="H57" s="37"/>
    </row>
    <row r="58" s="36" customFormat="1" customHeight="1" spans="2:8">
      <c r="B58" s="37"/>
      <c r="C58" s="37"/>
      <c r="D58" s="37"/>
      <c r="E58" s="37"/>
      <c r="F58" s="37"/>
      <c r="G58" s="37"/>
      <c r="H58" s="37"/>
    </row>
    <row r="59" s="36" customFormat="1" customHeight="1" spans="2:8">
      <c r="B59" s="37"/>
      <c r="C59" s="37"/>
      <c r="D59" s="37"/>
      <c r="E59" s="37"/>
      <c r="F59" s="37"/>
      <c r="G59" s="37"/>
      <c r="H59" s="37"/>
    </row>
  </sheetData>
  <mergeCells count="33">
    <mergeCell ref="G2:H2"/>
    <mergeCell ref="A7:C7"/>
    <mergeCell ref="A20:G20"/>
    <mergeCell ref="A37:B37"/>
    <mergeCell ref="A38:F38"/>
    <mergeCell ref="A2:A3"/>
    <mergeCell ref="A4:A6"/>
    <mergeCell ref="A22:A26"/>
    <mergeCell ref="A27:A31"/>
    <mergeCell ref="A32:A36"/>
    <mergeCell ref="B2:B3"/>
    <mergeCell ref="B22:B26"/>
    <mergeCell ref="B27:B31"/>
    <mergeCell ref="B32:B36"/>
    <mergeCell ref="C2:C3"/>
    <mergeCell ref="C22:C26"/>
    <mergeCell ref="C27:C31"/>
    <mergeCell ref="C32:C36"/>
    <mergeCell ref="D2:D3"/>
    <mergeCell ref="E2:E3"/>
    <mergeCell ref="E4:E6"/>
    <mergeCell ref="F2:F3"/>
    <mergeCell ref="F4:F6"/>
    <mergeCell ref="F22:F26"/>
    <mergeCell ref="F27:F31"/>
    <mergeCell ref="F32:F36"/>
    <mergeCell ref="G4:G6"/>
    <mergeCell ref="G22:G26"/>
    <mergeCell ref="G27:G31"/>
    <mergeCell ref="G32:G36"/>
    <mergeCell ref="H4:H6"/>
    <mergeCell ref="I2:I3"/>
    <mergeCell ref="I4:I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9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9" defaultRowHeight="14.25" customHeight="1"/>
  <cols>
    <col min="1" max="1" width="6.66666666666667" style="1" customWidth="1"/>
    <col min="2" max="2" width="6.16666666666667" style="1" customWidth="1"/>
    <col min="3" max="3" width="7.83333333333333" style="1" customWidth="1"/>
    <col min="4" max="4" width="34.1666666666667" style="1" customWidth="1"/>
    <col min="5" max="5" width="10.5" style="1" customWidth="1"/>
    <col min="6" max="6" width="7.66666666666667" style="1" customWidth="1"/>
    <col min="7" max="7" width="13.1666666666667" style="1" customWidth="1"/>
    <col min="8" max="8" width="26.3333333333333" style="1" customWidth="1"/>
    <col min="9" max="9" width="10.1666666666667" style="1" customWidth="1"/>
    <col min="10" max="10" width="11.1666666666667" style="1" customWidth="1"/>
    <col min="11" max="11" width="10.8333333333333" style="1" customWidth="1"/>
    <col min="12" max="12" width="11.1666666666667" style="1" customWidth="1"/>
    <col min="13" max="13" width="25.6666666666667" style="1" customWidth="1"/>
    <col min="14" max="15" width="10.5" style="1" customWidth="1"/>
    <col min="16" max="16" width="17.8333333333333" style="1" customWidth="1"/>
    <col min="17" max="17" width="12.1666666666667" style="1" customWidth="1"/>
  </cols>
  <sheetData>
    <row r="1" ht="21" customHeight="1"/>
    <row r="2" ht="21" customHeight="1" spans="1:17">
      <c r="A2" s="2" t="s">
        <v>92</v>
      </c>
      <c r="B2" s="2" t="s">
        <v>93</v>
      </c>
      <c r="C2" s="2" t="s">
        <v>94</v>
      </c>
      <c r="D2" s="13" t="s">
        <v>95</v>
      </c>
      <c r="E2" s="4" t="s">
        <v>96</v>
      </c>
      <c r="F2" s="13" t="s">
        <v>97</v>
      </c>
      <c r="G2" s="3" t="s">
        <v>98</v>
      </c>
      <c r="H2" s="13" t="s">
        <v>99</v>
      </c>
      <c r="I2" s="5" t="s">
        <v>100</v>
      </c>
      <c r="J2" s="3" t="s">
        <v>101</v>
      </c>
      <c r="K2" s="3" t="s">
        <v>102</v>
      </c>
      <c r="L2" s="3" t="s">
        <v>103</v>
      </c>
      <c r="M2" s="3" t="s">
        <v>99</v>
      </c>
      <c r="N2" s="28" t="s">
        <v>104</v>
      </c>
      <c r="O2" s="3" t="s">
        <v>105</v>
      </c>
      <c r="P2" s="6" t="s">
        <v>106</v>
      </c>
      <c r="Q2" s="3" t="s">
        <v>107</v>
      </c>
    </row>
    <row r="3" ht="42" customHeight="1" spans="1:17">
      <c r="A3" s="2"/>
      <c r="B3" s="2"/>
      <c r="C3" s="2"/>
      <c r="D3" s="24"/>
      <c r="E3" s="8"/>
      <c r="F3" s="24"/>
      <c r="G3" s="7"/>
      <c r="H3" s="24"/>
      <c r="I3" s="9"/>
      <c r="J3" s="7"/>
      <c r="K3" s="7"/>
      <c r="L3" s="7"/>
      <c r="M3" s="7"/>
      <c r="N3" s="29"/>
      <c r="O3" s="7"/>
      <c r="P3" s="10"/>
      <c r="Q3" s="7"/>
    </row>
    <row r="4" ht="30" customHeight="1" spans="1:17">
      <c r="A4" s="2" t="s">
        <v>108</v>
      </c>
      <c r="B4" s="11"/>
      <c r="C4" s="2"/>
      <c r="D4" s="3" t="s">
        <v>109</v>
      </c>
      <c r="E4" s="12"/>
      <c r="F4" s="2"/>
      <c r="G4" s="13"/>
      <c r="H4" s="14" t="s">
        <v>110</v>
      </c>
      <c r="I4" s="16"/>
      <c r="J4" s="13"/>
      <c r="K4" s="30"/>
      <c r="L4" s="13"/>
      <c r="M4" s="14" t="s">
        <v>111</v>
      </c>
      <c r="N4" s="31"/>
      <c r="O4" s="13"/>
      <c r="P4" s="17"/>
      <c r="Q4" s="13"/>
    </row>
    <row r="5" ht="30" customHeight="1" spans="1:17">
      <c r="A5" s="2" t="s">
        <v>112</v>
      </c>
      <c r="B5" s="11"/>
      <c r="C5" s="2"/>
      <c r="D5" s="18"/>
      <c r="E5" s="19"/>
      <c r="F5" s="2"/>
      <c r="G5" s="18"/>
      <c r="H5" s="32"/>
      <c r="I5" s="21"/>
      <c r="J5" s="18"/>
      <c r="K5" s="30"/>
      <c r="L5" s="18"/>
      <c r="M5" s="32"/>
      <c r="N5" s="33"/>
      <c r="O5" s="18"/>
      <c r="P5" s="22"/>
      <c r="Q5" s="18"/>
    </row>
    <row r="6" ht="30" customHeight="1" spans="1:17">
      <c r="A6" s="2" t="s">
        <v>113</v>
      </c>
      <c r="B6" s="11"/>
      <c r="C6" s="2"/>
      <c r="D6" s="18"/>
      <c r="E6" s="19"/>
      <c r="F6" s="2"/>
      <c r="G6" s="18"/>
      <c r="H6" s="32"/>
      <c r="I6" s="21"/>
      <c r="J6" s="18"/>
      <c r="K6" s="30"/>
      <c r="L6" s="18"/>
      <c r="M6" s="32"/>
      <c r="N6" s="33"/>
      <c r="O6" s="18"/>
      <c r="P6" s="22"/>
      <c r="Q6" s="18"/>
    </row>
    <row r="7" ht="30" customHeight="1" spans="1:17">
      <c r="A7" s="2" t="s">
        <v>114</v>
      </c>
      <c r="B7" s="11"/>
      <c r="C7" s="2"/>
      <c r="D7" s="18"/>
      <c r="E7" s="23"/>
      <c r="F7" s="2"/>
      <c r="G7" s="24"/>
      <c r="H7" s="32"/>
      <c r="I7" s="25"/>
      <c r="J7" s="24"/>
      <c r="K7" s="2"/>
      <c r="L7" s="24"/>
      <c r="M7" s="32"/>
      <c r="N7" s="34"/>
      <c r="O7" s="24"/>
      <c r="P7" s="26"/>
      <c r="Q7" s="24"/>
    </row>
    <row r="8" ht="30" customHeight="1" spans="1:17">
      <c r="A8" s="2" t="s">
        <v>115</v>
      </c>
      <c r="B8" s="11"/>
      <c r="C8" s="2"/>
      <c r="D8" s="18"/>
      <c r="E8" s="12"/>
      <c r="F8" s="2"/>
      <c r="G8" s="13"/>
      <c r="H8" s="32"/>
      <c r="I8" s="16"/>
      <c r="J8" s="13"/>
      <c r="K8" s="30"/>
      <c r="L8" s="13"/>
      <c r="M8" s="32"/>
      <c r="N8" s="31"/>
      <c r="O8" s="13"/>
      <c r="P8" s="17"/>
      <c r="Q8" s="13"/>
    </row>
    <row r="9" ht="30" customHeight="1" spans="1:17">
      <c r="A9" s="2" t="s">
        <v>116</v>
      </c>
      <c r="B9" s="11"/>
      <c r="C9" s="2"/>
      <c r="D9" s="18"/>
      <c r="E9" s="19"/>
      <c r="F9" s="2"/>
      <c r="G9" s="18"/>
      <c r="H9" s="32"/>
      <c r="I9" s="21"/>
      <c r="J9" s="18"/>
      <c r="K9" s="30"/>
      <c r="L9" s="18"/>
      <c r="M9" s="32"/>
      <c r="N9" s="33"/>
      <c r="O9" s="18"/>
      <c r="P9" s="22"/>
      <c r="Q9" s="18"/>
    </row>
    <row r="10" ht="30" customHeight="1" spans="1:17">
      <c r="A10" s="2" t="s">
        <v>117</v>
      </c>
      <c r="B10" s="11"/>
      <c r="C10" s="2"/>
      <c r="D10" s="18"/>
      <c r="E10" s="19"/>
      <c r="F10" s="2"/>
      <c r="G10" s="18"/>
      <c r="H10" s="32"/>
      <c r="I10" s="21"/>
      <c r="J10" s="18"/>
      <c r="K10" s="30"/>
      <c r="L10" s="18"/>
      <c r="M10" s="32"/>
      <c r="N10" s="33"/>
      <c r="O10" s="18"/>
      <c r="P10" s="22"/>
      <c r="Q10" s="18"/>
    </row>
    <row r="11" ht="30" customHeight="1" spans="1:17">
      <c r="A11" s="2" t="s">
        <v>114</v>
      </c>
      <c r="B11" s="11"/>
      <c r="C11" s="2"/>
      <c r="D11" s="18"/>
      <c r="E11" s="23"/>
      <c r="F11" s="2"/>
      <c r="G11" s="24"/>
      <c r="H11" s="32"/>
      <c r="I11" s="25"/>
      <c r="J11" s="24"/>
      <c r="K11" s="2"/>
      <c r="L11" s="24"/>
      <c r="M11" s="32"/>
      <c r="N11" s="34"/>
      <c r="O11" s="24"/>
      <c r="P11" s="26"/>
      <c r="Q11" s="24"/>
    </row>
    <row r="12" ht="30" customHeight="1" spans="1:17">
      <c r="A12" s="2" t="s">
        <v>118</v>
      </c>
      <c r="B12" s="11"/>
      <c r="C12" s="2"/>
      <c r="D12" s="18"/>
      <c r="E12" s="12"/>
      <c r="F12" s="2"/>
      <c r="G12" s="13"/>
      <c r="H12" s="32"/>
      <c r="I12" s="16"/>
      <c r="J12" s="13"/>
      <c r="K12" s="30"/>
      <c r="L12" s="13"/>
      <c r="M12" s="32"/>
      <c r="N12" s="31"/>
      <c r="O12" s="13"/>
      <c r="P12" s="17"/>
      <c r="Q12" s="13"/>
    </row>
    <row r="13" ht="30" customHeight="1" spans="1:17">
      <c r="A13" s="2" t="s">
        <v>119</v>
      </c>
      <c r="B13" s="11"/>
      <c r="C13" s="2"/>
      <c r="D13" s="18"/>
      <c r="E13" s="19"/>
      <c r="F13" s="2"/>
      <c r="G13" s="18"/>
      <c r="H13" s="32"/>
      <c r="I13" s="21"/>
      <c r="J13" s="18"/>
      <c r="K13" s="30"/>
      <c r="L13" s="18"/>
      <c r="M13" s="32"/>
      <c r="N13" s="33"/>
      <c r="O13" s="18"/>
      <c r="P13" s="22"/>
      <c r="Q13" s="18"/>
    </row>
    <row r="14" ht="30" customHeight="1" spans="1:17">
      <c r="A14" s="2" t="s">
        <v>120</v>
      </c>
      <c r="B14" s="11"/>
      <c r="C14" s="2"/>
      <c r="D14" s="18"/>
      <c r="E14" s="19"/>
      <c r="F14" s="2"/>
      <c r="G14" s="18"/>
      <c r="H14" s="32"/>
      <c r="I14" s="21"/>
      <c r="J14" s="18"/>
      <c r="K14" s="30"/>
      <c r="L14" s="18"/>
      <c r="M14" s="32"/>
      <c r="N14" s="33"/>
      <c r="O14" s="18"/>
      <c r="P14" s="22"/>
      <c r="Q14" s="18"/>
    </row>
    <row r="15" ht="30" customHeight="1" spans="1:17">
      <c r="A15" s="2" t="s">
        <v>114</v>
      </c>
      <c r="B15" s="11"/>
      <c r="C15" s="2"/>
      <c r="D15" s="18"/>
      <c r="E15" s="23"/>
      <c r="F15" s="2"/>
      <c r="G15" s="24"/>
      <c r="H15" s="32"/>
      <c r="I15" s="25"/>
      <c r="J15" s="24"/>
      <c r="K15" s="2"/>
      <c r="L15" s="24"/>
      <c r="M15" s="32"/>
      <c r="N15" s="34"/>
      <c r="O15" s="24"/>
      <c r="P15" s="26"/>
      <c r="Q15" s="24"/>
    </row>
    <row r="16" ht="30" customHeight="1" spans="1:17">
      <c r="A16" s="2" t="s">
        <v>121</v>
      </c>
      <c r="B16" s="11"/>
      <c r="C16" s="2"/>
      <c r="D16" s="18"/>
      <c r="E16" s="12"/>
      <c r="F16" s="2"/>
      <c r="G16" s="13"/>
      <c r="H16" s="32"/>
      <c r="I16" s="16"/>
      <c r="J16" s="13"/>
      <c r="K16" s="30"/>
      <c r="L16" s="13"/>
      <c r="M16" s="32"/>
      <c r="N16" s="31"/>
      <c r="O16" s="13"/>
      <c r="P16" s="17"/>
      <c r="Q16" s="13"/>
    </row>
    <row r="17" ht="30" customHeight="1" spans="1:17">
      <c r="A17" s="2" t="s">
        <v>122</v>
      </c>
      <c r="B17" s="11"/>
      <c r="C17" s="2"/>
      <c r="D17" s="18"/>
      <c r="E17" s="19"/>
      <c r="F17" s="2"/>
      <c r="G17" s="18"/>
      <c r="H17" s="32"/>
      <c r="I17" s="21"/>
      <c r="J17" s="18"/>
      <c r="K17" s="30"/>
      <c r="L17" s="18"/>
      <c r="M17" s="32"/>
      <c r="N17" s="33"/>
      <c r="O17" s="18"/>
      <c r="P17" s="22"/>
      <c r="Q17" s="18"/>
    </row>
    <row r="18" ht="30" customHeight="1" spans="1:17">
      <c r="A18" s="2" t="s">
        <v>123</v>
      </c>
      <c r="B18" s="11"/>
      <c r="C18" s="2"/>
      <c r="D18" s="18"/>
      <c r="E18" s="19"/>
      <c r="F18" s="2"/>
      <c r="G18" s="18"/>
      <c r="H18" s="32"/>
      <c r="I18" s="21"/>
      <c r="J18" s="18"/>
      <c r="K18" s="30"/>
      <c r="L18" s="18"/>
      <c r="M18" s="32"/>
      <c r="N18" s="33"/>
      <c r="O18" s="18"/>
      <c r="P18" s="22"/>
      <c r="Q18" s="18"/>
    </row>
    <row r="19" ht="30" customHeight="1" spans="1:17">
      <c r="A19" s="2" t="s">
        <v>114</v>
      </c>
      <c r="B19" s="11"/>
      <c r="C19" s="2"/>
      <c r="D19" s="24"/>
      <c r="E19" s="23"/>
      <c r="F19" s="2"/>
      <c r="G19" s="24"/>
      <c r="H19" s="35"/>
      <c r="I19" s="25"/>
      <c r="J19" s="24"/>
      <c r="K19" s="2"/>
      <c r="L19" s="24"/>
      <c r="M19" s="35"/>
      <c r="N19" s="34"/>
      <c r="O19" s="24"/>
      <c r="P19" s="26"/>
      <c r="Q19" s="24"/>
    </row>
  </sheetData>
  <mergeCells count="53">
    <mergeCell ref="A2:A3"/>
    <mergeCell ref="B2:B3"/>
    <mergeCell ref="C2:C3"/>
    <mergeCell ref="D2:D3"/>
    <mergeCell ref="D4:D19"/>
    <mergeCell ref="E2:E3"/>
    <mergeCell ref="E4:E7"/>
    <mergeCell ref="E8:E11"/>
    <mergeCell ref="E12:E15"/>
    <mergeCell ref="E16:E19"/>
    <mergeCell ref="F2:F3"/>
    <mergeCell ref="G2:G3"/>
    <mergeCell ref="G4:G7"/>
    <mergeCell ref="H2:H3"/>
    <mergeCell ref="H4:H19"/>
    <mergeCell ref="I2:I3"/>
    <mergeCell ref="I4:I7"/>
    <mergeCell ref="I8:I11"/>
    <mergeCell ref="I12:I15"/>
    <mergeCell ref="I16:I19"/>
    <mergeCell ref="J2:J3"/>
    <mergeCell ref="J4:J7"/>
    <mergeCell ref="J8:J11"/>
    <mergeCell ref="J12:J15"/>
    <mergeCell ref="J16:J19"/>
    <mergeCell ref="K2:K3"/>
    <mergeCell ref="L2:L3"/>
    <mergeCell ref="L4:L7"/>
    <mergeCell ref="L8:L11"/>
    <mergeCell ref="L12:L15"/>
    <mergeCell ref="L16:L19"/>
    <mergeCell ref="M2:M3"/>
    <mergeCell ref="M4:M19"/>
    <mergeCell ref="N2:N3"/>
    <mergeCell ref="N4:N7"/>
    <mergeCell ref="N8:N11"/>
    <mergeCell ref="N12:N15"/>
    <mergeCell ref="N16:N19"/>
    <mergeCell ref="O2:O3"/>
    <mergeCell ref="O4:O7"/>
    <mergeCell ref="O8:O11"/>
    <mergeCell ref="O12:O15"/>
    <mergeCell ref="O16:O19"/>
    <mergeCell ref="P2:P3"/>
    <mergeCell ref="P4:P7"/>
    <mergeCell ref="P8:P11"/>
    <mergeCell ref="P12:P15"/>
    <mergeCell ref="P16:P19"/>
    <mergeCell ref="Q2:Q3"/>
    <mergeCell ref="Q4:Q7"/>
    <mergeCell ref="Q8:Q11"/>
    <mergeCell ref="Q12:Q15"/>
    <mergeCell ref="Q16:Q1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N19"/>
  <sheetViews>
    <sheetView workbookViewId="0">
      <selection activeCell="A1" sqref="A1"/>
    </sheetView>
  </sheetViews>
  <sheetFormatPr defaultColWidth="9" defaultRowHeight="14.25" customHeight="1"/>
  <cols>
    <col min="2" max="2" width="10.1666666666667" style="1" customWidth="1"/>
    <col min="3" max="3" width="10.8333333333333" style="1" customWidth="1"/>
    <col min="4" max="4" width="12.1666666666667" style="1" customWidth="1"/>
    <col min="5" max="5" width="34.1666666666667" style="1" customWidth="1"/>
    <col min="6" max="6" width="14.6666666666667" style="1" customWidth="1"/>
    <col min="7" max="7" width="15.6666666666667" style="1" customWidth="1"/>
    <col min="8" max="8" width="22.1666666666667" style="1" customWidth="1"/>
    <col min="9" max="9" width="15.6666666666667" style="1" customWidth="1"/>
    <col min="10" max="10" width="18.1666666666667" style="1" customWidth="1"/>
    <col min="11" max="11" width="15.8333333333333" style="1" customWidth="1"/>
    <col min="12" max="12" width="10.5" style="1" customWidth="1"/>
    <col min="13" max="13" width="17.8333333333333" style="1" customWidth="1"/>
    <col min="14" max="14" width="12.1666666666667" style="1" customWidth="1"/>
  </cols>
  <sheetData>
    <row r="1" ht="23.1" customHeight="1"/>
    <row r="2" ht="21" customHeight="1" spans="2:14">
      <c r="B2" s="2" t="s">
        <v>92</v>
      </c>
      <c r="C2" s="2" t="s">
        <v>93</v>
      </c>
      <c r="D2" s="2" t="s">
        <v>94</v>
      </c>
      <c r="E2" s="3" t="s">
        <v>124</v>
      </c>
      <c r="F2" s="4" t="s">
        <v>125</v>
      </c>
      <c r="G2" s="3" t="s">
        <v>126</v>
      </c>
      <c r="H2" s="3" t="s">
        <v>127</v>
      </c>
      <c r="I2" s="3" t="s">
        <v>128</v>
      </c>
      <c r="J2" s="3" t="s">
        <v>129</v>
      </c>
      <c r="K2" s="5" t="s">
        <v>130</v>
      </c>
      <c r="L2" s="3" t="s">
        <v>105</v>
      </c>
      <c r="M2" s="6" t="s">
        <v>131</v>
      </c>
      <c r="N2" s="3" t="s">
        <v>132</v>
      </c>
    </row>
    <row r="3" ht="42" customHeight="1" spans="2:14">
      <c r="B3" s="2"/>
      <c r="C3" s="2"/>
      <c r="D3" s="2"/>
      <c r="E3" s="7"/>
      <c r="F3" s="8"/>
      <c r="G3" s="7"/>
      <c r="H3" s="7"/>
      <c r="I3" s="7"/>
      <c r="J3" s="7"/>
      <c r="K3" s="9"/>
      <c r="L3" s="7"/>
      <c r="M3" s="10"/>
      <c r="N3" s="7"/>
    </row>
    <row r="4" ht="30" customHeight="1" spans="2:14">
      <c r="B4" s="2" t="s">
        <v>108</v>
      </c>
      <c r="C4" s="11"/>
      <c r="D4" s="2"/>
      <c r="E4" s="3" t="s">
        <v>133</v>
      </c>
      <c r="F4" s="12"/>
      <c r="G4" s="13"/>
      <c r="H4" s="14" t="s">
        <v>134</v>
      </c>
      <c r="I4" s="15"/>
      <c r="J4" s="15"/>
      <c r="K4" s="16"/>
      <c r="L4" s="13"/>
      <c r="M4" s="17"/>
      <c r="N4" s="13"/>
    </row>
    <row r="5" ht="30" customHeight="1" spans="2:14">
      <c r="B5" s="2" t="s">
        <v>112</v>
      </c>
      <c r="C5" s="11"/>
      <c r="D5" s="2"/>
      <c r="E5" s="18"/>
      <c r="F5" s="19"/>
      <c r="G5" s="18"/>
      <c r="H5" s="20"/>
      <c r="I5" s="15"/>
      <c r="J5" s="15"/>
      <c r="K5" s="21"/>
      <c r="L5" s="18"/>
      <c r="M5" s="22"/>
      <c r="N5" s="18"/>
    </row>
    <row r="6" ht="30" customHeight="1" spans="2:14">
      <c r="B6" s="2" t="s">
        <v>113</v>
      </c>
      <c r="C6" s="11"/>
      <c r="D6" s="2"/>
      <c r="E6" s="18"/>
      <c r="F6" s="19"/>
      <c r="G6" s="18"/>
      <c r="H6" s="20"/>
      <c r="I6" s="15"/>
      <c r="J6" s="15"/>
      <c r="K6" s="21"/>
      <c r="L6" s="18"/>
      <c r="M6" s="22"/>
      <c r="N6" s="18"/>
    </row>
    <row r="7" ht="30" customHeight="1" spans="2:14">
      <c r="B7" s="2" t="s">
        <v>114</v>
      </c>
      <c r="C7" s="11"/>
      <c r="D7" s="2"/>
      <c r="E7" s="18"/>
      <c r="F7" s="23"/>
      <c r="G7" s="24"/>
      <c r="H7" s="20"/>
      <c r="I7" s="15"/>
      <c r="J7" s="15"/>
      <c r="K7" s="25"/>
      <c r="L7" s="24"/>
      <c r="M7" s="26"/>
      <c r="N7" s="24"/>
    </row>
    <row r="8" ht="30" customHeight="1" spans="2:14">
      <c r="B8" s="2" t="s">
        <v>115</v>
      </c>
      <c r="C8" s="11"/>
      <c r="D8" s="2"/>
      <c r="E8" s="18"/>
      <c r="F8" s="12"/>
      <c r="G8" s="13"/>
      <c r="H8" s="20"/>
      <c r="I8" s="2"/>
      <c r="J8" s="15"/>
      <c r="K8" s="16"/>
      <c r="L8" s="13"/>
      <c r="M8" s="17"/>
      <c r="N8" s="13"/>
    </row>
    <row r="9" ht="30" customHeight="1" spans="2:14">
      <c r="B9" s="2" t="s">
        <v>116</v>
      </c>
      <c r="C9" s="11"/>
      <c r="D9" s="2"/>
      <c r="E9" s="18"/>
      <c r="F9" s="19"/>
      <c r="G9" s="18"/>
      <c r="H9" s="20"/>
      <c r="I9" s="2"/>
      <c r="J9" s="15"/>
      <c r="K9" s="21"/>
      <c r="L9" s="18"/>
      <c r="M9" s="22"/>
      <c r="N9" s="18"/>
    </row>
    <row r="10" ht="30" customHeight="1" spans="2:14">
      <c r="B10" s="2" t="s">
        <v>117</v>
      </c>
      <c r="C10" s="11"/>
      <c r="D10" s="2"/>
      <c r="E10" s="18"/>
      <c r="F10" s="19"/>
      <c r="G10" s="18"/>
      <c r="H10" s="20"/>
      <c r="I10" s="2"/>
      <c r="J10" s="15"/>
      <c r="K10" s="21"/>
      <c r="L10" s="18"/>
      <c r="M10" s="22"/>
      <c r="N10" s="18"/>
    </row>
    <row r="11" ht="30" customHeight="1" spans="2:14">
      <c r="B11" s="2" t="s">
        <v>114</v>
      </c>
      <c r="C11" s="11"/>
      <c r="D11" s="2"/>
      <c r="E11" s="18"/>
      <c r="F11" s="23"/>
      <c r="G11" s="24"/>
      <c r="H11" s="20"/>
      <c r="I11" s="2"/>
      <c r="J11" s="15"/>
      <c r="K11" s="25"/>
      <c r="L11" s="24"/>
      <c r="M11" s="26"/>
      <c r="N11" s="24"/>
    </row>
    <row r="12" ht="30" customHeight="1" spans="2:14">
      <c r="B12" s="2" t="s">
        <v>118</v>
      </c>
      <c r="C12" s="11"/>
      <c r="D12" s="2"/>
      <c r="E12" s="18"/>
      <c r="F12" s="12"/>
      <c r="G12" s="13"/>
      <c r="H12" s="20"/>
      <c r="I12" s="2"/>
      <c r="J12" s="15"/>
      <c r="K12" s="16"/>
      <c r="L12" s="13"/>
      <c r="M12" s="17"/>
      <c r="N12" s="13"/>
    </row>
    <row r="13" ht="30" customHeight="1" spans="2:14">
      <c r="B13" s="2" t="s">
        <v>119</v>
      </c>
      <c r="C13" s="11"/>
      <c r="D13" s="2"/>
      <c r="E13" s="18"/>
      <c r="F13" s="19"/>
      <c r="G13" s="18"/>
      <c r="H13" s="20"/>
      <c r="I13" s="2"/>
      <c r="J13" s="15"/>
      <c r="K13" s="21"/>
      <c r="L13" s="18"/>
      <c r="M13" s="22"/>
      <c r="N13" s="18"/>
    </row>
    <row r="14" ht="30" customHeight="1" spans="2:14">
      <c r="B14" s="2" t="s">
        <v>120</v>
      </c>
      <c r="C14" s="11"/>
      <c r="D14" s="2"/>
      <c r="E14" s="18"/>
      <c r="F14" s="19"/>
      <c r="G14" s="18"/>
      <c r="H14" s="20"/>
      <c r="I14" s="2"/>
      <c r="J14" s="15"/>
      <c r="K14" s="21"/>
      <c r="L14" s="18"/>
      <c r="M14" s="22"/>
      <c r="N14" s="18"/>
    </row>
    <row r="15" ht="30" customHeight="1" spans="2:14">
      <c r="B15" s="2" t="s">
        <v>114</v>
      </c>
      <c r="C15" s="11"/>
      <c r="D15" s="2"/>
      <c r="E15" s="18"/>
      <c r="F15" s="23"/>
      <c r="G15" s="24"/>
      <c r="H15" s="20"/>
      <c r="I15" s="2"/>
      <c r="J15" s="15"/>
      <c r="K15" s="25"/>
      <c r="L15" s="24"/>
      <c r="M15" s="26"/>
      <c r="N15" s="24"/>
    </row>
    <row r="16" ht="30" customHeight="1" spans="2:14">
      <c r="B16" s="2" t="s">
        <v>121</v>
      </c>
      <c r="C16" s="11"/>
      <c r="D16" s="2"/>
      <c r="E16" s="18"/>
      <c r="F16" s="12"/>
      <c r="G16" s="13"/>
      <c r="H16" s="20"/>
      <c r="I16" s="18"/>
      <c r="J16" s="15"/>
      <c r="K16" s="16"/>
      <c r="L16" s="13"/>
      <c r="M16" s="17"/>
      <c r="N16" s="13"/>
    </row>
    <row r="17" ht="30" customHeight="1" spans="2:14">
      <c r="B17" s="2" t="s">
        <v>122</v>
      </c>
      <c r="C17" s="11"/>
      <c r="D17" s="2"/>
      <c r="E17" s="18"/>
      <c r="F17" s="19"/>
      <c r="G17" s="18"/>
      <c r="H17" s="20"/>
      <c r="I17" s="18"/>
      <c r="J17" s="15"/>
      <c r="K17" s="21"/>
      <c r="L17" s="18"/>
      <c r="M17" s="22"/>
      <c r="N17" s="18"/>
    </row>
    <row r="18" ht="30" customHeight="1" spans="2:14">
      <c r="B18" s="2" t="s">
        <v>123</v>
      </c>
      <c r="C18" s="11"/>
      <c r="D18" s="2"/>
      <c r="E18" s="18"/>
      <c r="F18" s="19"/>
      <c r="G18" s="18"/>
      <c r="H18" s="20"/>
      <c r="I18" s="18"/>
      <c r="J18" s="15"/>
      <c r="K18" s="21"/>
      <c r="L18" s="18"/>
      <c r="M18" s="22"/>
      <c r="N18" s="18"/>
    </row>
    <row r="19" ht="30" customHeight="1" spans="2:14">
      <c r="B19" s="2" t="s">
        <v>114</v>
      </c>
      <c r="C19" s="11"/>
      <c r="D19" s="2"/>
      <c r="E19" s="24"/>
      <c r="F19" s="23"/>
      <c r="G19" s="24"/>
      <c r="H19" s="27"/>
      <c r="I19" s="24"/>
      <c r="J19" s="15"/>
      <c r="K19" s="25"/>
      <c r="L19" s="24"/>
      <c r="M19" s="26"/>
      <c r="N19" s="24"/>
    </row>
  </sheetData>
  <mergeCells count="47">
    <mergeCell ref="B2:B3"/>
    <mergeCell ref="C2:C3"/>
    <mergeCell ref="D2:D3"/>
    <mergeCell ref="E2:E3"/>
    <mergeCell ref="E4:E19"/>
    <mergeCell ref="F2:F3"/>
    <mergeCell ref="F4:F7"/>
    <mergeCell ref="F8:F11"/>
    <mergeCell ref="F12:F15"/>
    <mergeCell ref="F16:F19"/>
    <mergeCell ref="G2:G3"/>
    <mergeCell ref="G4:G7"/>
    <mergeCell ref="G8:G11"/>
    <mergeCell ref="G12:G15"/>
    <mergeCell ref="G16:G19"/>
    <mergeCell ref="H2:H3"/>
    <mergeCell ref="H4:H19"/>
    <mergeCell ref="I2:I3"/>
    <mergeCell ref="I4:I7"/>
    <mergeCell ref="I8:I11"/>
    <mergeCell ref="I12:I15"/>
    <mergeCell ref="I16:I19"/>
    <mergeCell ref="J2:J3"/>
    <mergeCell ref="J4:J7"/>
    <mergeCell ref="J8:J11"/>
    <mergeCell ref="J12:J15"/>
    <mergeCell ref="J16:J19"/>
    <mergeCell ref="K2:K3"/>
    <mergeCell ref="K4:K7"/>
    <mergeCell ref="K8:K11"/>
    <mergeCell ref="K12:K15"/>
    <mergeCell ref="K16:K19"/>
    <mergeCell ref="L2:L3"/>
    <mergeCell ref="L4:L7"/>
    <mergeCell ref="L8:L11"/>
    <mergeCell ref="L12:L15"/>
    <mergeCell ref="L16:L19"/>
    <mergeCell ref="M2:M3"/>
    <mergeCell ref="M4:M7"/>
    <mergeCell ref="M8:M11"/>
    <mergeCell ref="M12:M15"/>
    <mergeCell ref="M16:M19"/>
    <mergeCell ref="N2:N3"/>
    <mergeCell ref="N4:N7"/>
    <mergeCell ref="N8:N11"/>
    <mergeCell ref="N12:N15"/>
    <mergeCell ref="N16:N1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2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课程顾问</vt:lpstr>
      <vt:lpstr>销售经理月度绩效</vt:lpstr>
      <vt:lpstr>销售管培生</vt:lpstr>
      <vt:lpstr>运营培训师</vt:lpstr>
      <vt:lpstr>销售经理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Allen</cp:lastModifiedBy>
  <dcterms:created xsi:type="dcterms:W3CDTF">2006-09-16T08:00:00Z</dcterms:created>
  <dcterms:modified xsi:type="dcterms:W3CDTF">2026-05-06T03:28:19Z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94348BD7A80342079FD32BA83F208928_12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